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huabrinker/Documents/"/>
    </mc:Choice>
  </mc:AlternateContent>
  <xr:revisionPtr revIDLastSave="0" documentId="13_ncr:1_{99E33652-443F-4F48-AF6F-F4DF6555F584}" xr6:coauthVersionLast="47" xr6:coauthVersionMax="47" xr10:uidLastSave="{00000000-0000-0000-0000-000000000000}"/>
  <bookViews>
    <workbookView xWindow="0" yWindow="680" windowWidth="34200" windowHeight="19800" activeTab="5" xr2:uid="{7F9EB4FD-8FF3-174F-8314-278F0BC7C9D8}"/>
  </bookViews>
  <sheets>
    <sheet name="Job Codes" sheetId="1" state="hidden" r:id="rId1"/>
    <sheet name="Monday" sheetId="3" r:id="rId2"/>
    <sheet name="Tuesday" sheetId="9" r:id="rId3"/>
    <sheet name="Wednesday" sheetId="10" r:id="rId4"/>
    <sheet name="Thursday" sheetId="11" r:id="rId5"/>
    <sheet name="Friday" sheetId="12" r:id="rId6"/>
  </sheets>
  <definedNames>
    <definedName name="_xlnm.Print_Area" localSheetId="5">Friday!$A$1:$N$35</definedName>
    <definedName name="_xlnm.Print_Area" localSheetId="1">Monday!$A$1:$N$35</definedName>
    <definedName name="_xlnm.Print_Area" localSheetId="4">Thursday!$A$1:$N$35</definedName>
    <definedName name="_xlnm.Print_Area" localSheetId="2">Tuesday!$A$1:$N$35</definedName>
    <definedName name="_xlnm.Print_Area" localSheetId="3">Wednesday!$A$1:$N$35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8" i="12" l="1"/>
  <c r="J23" i="12"/>
  <c r="I23" i="12"/>
  <c r="J22" i="12"/>
  <c r="I22" i="12"/>
  <c r="I21" i="12"/>
  <c r="J21" i="12" s="1"/>
  <c r="I20" i="12"/>
  <c r="J20" i="12" s="1"/>
  <c r="I19" i="12"/>
  <c r="J19" i="12" s="1"/>
  <c r="J18" i="12"/>
  <c r="I18" i="12"/>
  <c r="J17" i="12"/>
  <c r="I17" i="12"/>
  <c r="I16" i="12"/>
  <c r="J16" i="12" s="1"/>
  <c r="I15" i="12"/>
  <c r="J15" i="12" s="1"/>
  <c r="I14" i="12"/>
  <c r="J14" i="12" s="1"/>
  <c r="J13" i="12"/>
  <c r="I13" i="12"/>
  <c r="J12" i="12"/>
  <c r="I12" i="12"/>
  <c r="I11" i="12"/>
  <c r="J11" i="12" s="1"/>
  <c r="I10" i="12"/>
  <c r="J10" i="12" s="1"/>
  <c r="I9" i="12"/>
  <c r="J9" i="12" s="1"/>
  <c r="J8" i="12"/>
  <c r="I8" i="12"/>
  <c r="J7" i="12"/>
  <c r="I7" i="12"/>
  <c r="I6" i="12"/>
  <c r="J6" i="12" s="1"/>
  <c r="I5" i="12"/>
  <c r="J5" i="12" s="1"/>
  <c r="I4" i="12"/>
  <c r="J4" i="12" s="1"/>
  <c r="I23" i="11"/>
  <c r="J23" i="11" s="1"/>
  <c r="I22" i="11"/>
  <c r="J22" i="11" s="1"/>
  <c r="I21" i="11"/>
  <c r="J21" i="11" s="1"/>
  <c r="I20" i="11"/>
  <c r="J20" i="11" s="1"/>
  <c r="J19" i="11"/>
  <c r="I19" i="11"/>
  <c r="I18" i="11"/>
  <c r="J18" i="11" s="1"/>
  <c r="I17" i="11"/>
  <c r="J17" i="11" s="1"/>
  <c r="I16" i="11"/>
  <c r="J16" i="11" s="1"/>
  <c r="I15" i="11"/>
  <c r="J15" i="11" s="1"/>
  <c r="J14" i="11"/>
  <c r="I14" i="11"/>
  <c r="I13" i="11"/>
  <c r="J13" i="11" s="1"/>
  <c r="I12" i="11"/>
  <c r="J12" i="11" s="1"/>
  <c r="J11" i="11"/>
  <c r="I11" i="11"/>
  <c r="I10" i="11"/>
  <c r="J10" i="11" s="1"/>
  <c r="J9" i="11"/>
  <c r="I9" i="11"/>
  <c r="I8" i="11"/>
  <c r="J8" i="11" s="1"/>
  <c r="I7" i="11"/>
  <c r="J7" i="11" s="1"/>
  <c r="I6" i="11"/>
  <c r="J6" i="11" s="1"/>
  <c r="I5" i="11"/>
  <c r="J5" i="11" s="1"/>
  <c r="J4" i="11"/>
  <c r="I4" i="11"/>
  <c r="I23" i="10"/>
  <c r="J23" i="10" s="1"/>
  <c r="J22" i="10"/>
  <c r="I22" i="10"/>
  <c r="I21" i="10"/>
  <c r="J21" i="10" s="1"/>
  <c r="I20" i="10"/>
  <c r="J20" i="10" s="1"/>
  <c r="J19" i="10"/>
  <c r="I19" i="10"/>
  <c r="I18" i="10"/>
  <c r="J18" i="10" s="1"/>
  <c r="I17" i="10"/>
  <c r="J17" i="10" s="1"/>
  <c r="I16" i="10"/>
  <c r="J16" i="10" s="1"/>
  <c r="I15" i="10"/>
  <c r="J15" i="10" s="1"/>
  <c r="J14" i="10"/>
  <c r="I14" i="10"/>
  <c r="I13" i="10"/>
  <c r="J13" i="10" s="1"/>
  <c r="I12" i="10"/>
  <c r="J12" i="10" s="1"/>
  <c r="I11" i="10"/>
  <c r="J11" i="10" s="1"/>
  <c r="I10" i="10"/>
  <c r="J10" i="10" s="1"/>
  <c r="J9" i="10"/>
  <c r="I9" i="10"/>
  <c r="I8" i="10"/>
  <c r="J8" i="10" s="1"/>
  <c r="I7" i="10"/>
  <c r="J7" i="10" s="1"/>
  <c r="I6" i="10"/>
  <c r="J6" i="10" s="1"/>
  <c r="I5" i="10"/>
  <c r="J5" i="10" s="1"/>
  <c r="J4" i="10"/>
  <c r="I4" i="10"/>
  <c r="I23" i="9"/>
  <c r="J23" i="9" s="1"/>
  <c r="I22" i="9"/>
  <c r="J22" i="9" s="1"/>
  <c r="I21" i="9"/>
  <c r="J21" i="9" s="1"/>
  <c r="I20" i="9"/>
  <c r="J20" i="9" s="1"/>
  <c r="I19" i="9"/>
  <c r="J19" i="9" s="1"/>
  <c r="I18" i="9"/>
  <c r="J18" i="9" s="1"/>
  <c r="I17" i="9"/>
  <c r="J17" i="9" s="1"/>
  <c r="I16" i="9"/>
  <c r="J16" i="9" s="1"/>
  <c r="I15" i="9"/>
  <c r="J15" i="9" s="1"/>
  <c r="I14" i="9"/>
  <c r="J14" i="9" s="1"/>
  <c r="I13" i="9"/>
  <c r="J13" i="9" s="1"/>
  <c r="I12" i="9"/>
  <c r="J12" i="9" s="1"/>
  <c r="I11" i="9"/>
  <c r="J11" i="9" s="1"/>
  <c r="J10" i="9"/>
  <c r="I10" i="9"/>
  <c r="I9" i="9"/>
  <c r="J9" i="9" s="1"/>
  <c r="I8" i="9"/>
  <c r="J8" i="9" s="1"/>
  <c r="I7" i="9"/>
  <c r="J7" i="9" s="1"/>
  <c r="I6" i="9"/>
  <c r="J6" i="9" s="1"/>
  <c r="I5" i="9"/>
  <c r="J5" i="9" s="1"/>
  <c r="I4" i="9"/>
  <c r="J4" i="9" s="1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4" i="3"/>
  <c r="J4" i="3" s="1"/>
  <c r="J24" i="12" l="1"/>
  <c r="J24" i="11"/>
  <c r="J24" i="10"/>
  <c r="J24" i="9"/>
  <c r="J24" i="3"/>
</calcChain>
</file>

<file path=xl/sharedStrings.xml><?xml version="1.0" encoding="utf-8"?>
<sst xmlns="http://schemas.openxmlformats.org/spreadsheetml/2006/main" count="193" uniqueCount="73">
  <si>
    <t>BHL</t>
  </si>
  <si>
    <t>GBL</t>
  </si>
  <si>
    <t>BCLAB</t>
  </si>
  <si>
    <t>BORE</t>
  </si>
  <si>
    <t>DRSTLAB</t>
  </si>
  <si>
    <t>REKEY</t>
  </si>
  <si>
    <t>HSLAB</t>
  </si>
  <si>
    <t>ENTLAB</t>
  </si>
  <si>
    <t>LOCLAB</t>
  </si>
  <si>
    <t>KICKLAB</t>
  </si>
  <si>
    <t>LKHNGLAB</t>
  </si>
  <si>
    <t>FECLAB</t>
  </si>
  <si>
    <t>FEXLAB</t>
  </si>
  <si>
    <t>BEVIN</t>
  </si>
  <si>
    <t>BSMC</t>
  </si>
  <si>
    <t>CGL</t>
  </si>
  <si>
    <t>CGR</t>
  </si>
  <si>
    <t>COML</t>
  </si>
  <si>
    <t>FGL</t>
  </si>
  <si>
    <t>FGLR</t>
  </si>
  <si>
    <t>FMLC</t>
  </si>
  <si>
    <t>JBARLAB</t>
  </si>
  <si>
    <t>LITEMNT</t>
  </si>
  <si>
    <t>MBPLAB</t>
  </si>
  <si>
    <t>MCLAB</t>
  </si>
  <si>
    <t>OML</t>
  </si>
  <si>
    <t>VML</t>
  </si>
  <si>
    <t>CLIPSLAB</t>
  </si>
  <si>
    <t>VMR</t>
  </si>
  <si>
    <t>FD791LAB</t>
  </si>
  <si>
    <t>SIL</t>
  </si>
  <si>
    <t>SRL</t>
  </si>
  <si>
    <t>FD793LAB</t>
  </si>
  <si>
    <t>FD794LAB</t>
  </si>
  <si>
    <t>FDSDL</t>
  </si>
  <si>
    <t>FDSDR</t>
  </si>
  <si>
    <t>FSDL</t>
  </si>
  <si>
    <t>FSPL</t>
  </si>
  <si>
    <t>FSR</t>
  </si>
  <si>
    <t>STEAMLAB</t>
  </si>
  <si>
    <t>SWL</t>
  </si>
  <si>
    <t>XPANEL</t>
  </si>
  <si>
    <t>FDCSDLAB</t>
  </si>
  <si>
    <t>DATE</t>
  </si>
  <si>
    <t>CUSTOMER</t>
  </si>
  <si>
    <t>LOT/COMMUNITY or ADDRESS</t>
  </si>
  <si>
    <t>LABOR CODE</t>
  </si>
  <si>
    <t>QTY</t>
  </si>
  <si>
    <t>PC PAY RATE</t>
  </si>
  <si>
    <t>PC PAY TOTAL</t>
  </si>
  <si>
    <t>COMMENTS</t>
  </si>
  <si>
    <t>MGR APVL</t>
  </si>
  <si>
    <t>PAGE TOTAL</t>
  </si>
  <si>
    <t>INSTALLER: Joseph Scott Kemper</t>
  </si>
  <si>
    <t>HELPER:</t>
  </si>
  <si>
    <t>Joshua Brinker</t>
  </si>
  <si>
    <t>PAYROLL DETAIL LOG</t>
  </si>
  <si>
    <t>Week Ending:</t>
  </si>
  <si>
    <t>PAGE</t>
  </si>
  <si>
    <t>OF</t>
  </si>
  <si>
    <t>PAGES</t>
  </si>
  <si>
    <t>LEAD NAME and HELPER NAME and DATE work performed are required on every work sheet</t>
  </si>
  <si>
    <t>GPS is required to be turned on at all times during work hours on device utilizing DispatchTrack</t>
  </si>
  <si>
    <t>Punch Correction forms must be turned in for any missed punches by end of same business day</t>
  </si>
  <si>
    <t>Paid and unpaid PTO must be requested onlinme through AllPay by end of same business day</t>
  </si>
  <si>
    <t>Each day's work should be totalled on Page Total line, last workday total on Weekly Total line</t>
  </si>
  <si>
    <t>Hourly and Piece Pay installers are required to punch in and out DAILY</t>
  </si>
  <si>
    <t>Pay sheets may be adjusted for price reconciliation or cost reallocation by the review team and/or leadership</t>
  </si>
  <si>
    <t>Any missing pay sheets may delay pay until the following week</t>
  </si>
  <si>
    <t>Any overtime and/or weekend work must be pre-approved by Charles Wiggins prior to workday and all weekend pay sheets and</t>
  </si>
  <si>
    <t>WEEKLY TOTAL</t>
  </si>
  <si>
    <t>EMPLOYEES ARE RESPONSIBLE FOR FOLLOWING TIME KEEPING PROCEDURES PER COMPANY POLICY</t>
  </si>
  <si>
    <t xml:space="preserve">     punch corrections must be texted to Chuck (404-449-2378) and Stacy (404-379 7870) by end of same business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</si>
</sst>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0"/>
      <color theme="1"/>
      <name val="Aptos Narrow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7">
    <xf numFmtId="0" fontId="0" fillId="0" borderId="0" xfId="0"/>
    <xf numFmtId="44" fontId="0" fillId="0" borderId="0" xfId="1" applyFont="1"/>
    <xf numFmtId="0" fontId="0" fillId="0" borderId="1" xfId="0" applyBorder="1"/>
    <xf numFmtId="0" fontId="2" fillId="0" borderId="0" xfId="0" applyFont="1" applyAlignment="1">
      <alignment horizontal="center"/>
    </xf>
    <xf numFmtId="0" fontId="5" fillId="0" borderId="0" xfId="0" applyFont="1"/>
    <xf numFmtId="44" fontId="0" fillId="0" borderId="1" xfId="1" applyFont="1" applyBorder="1"/>
    <xf numFmtId="0" fontId="6" fillId="0" borderId="0" xfId="0" applyFont="1"/>
    <xf numFmtId="0" fontId="6" fillId="0" borderId="11" xfId="0" applyFont="1" applyBorder="1" applyAlignment="1">
      <alignment horizontal="center"/>
    </xf>
    <xf numFmtId="0" fontId="6" fillId="0" borderId="8" xfId="0" applyFont="1" applyBorder="1"/>
    <xf numFmtId="0" fontId="5" fillId="0" borderId="5" xfId="0" applyFont="1" applyBorder="1"/>
    <xf numFmtId="0" fontId="3" fillId="0" borderId="8" xfId="0" applyFont="1" applyBorder="1"/>
    <xf numFmtId="0" fontId="0" fillId="0" borderId="1" xfId="1" applyNumberFormat="1" applyFont="1" applyBorder="1"/>
    <xf numFmtId="14" fontId="0" fillId="0" borderId="1" xfId="0" applyNumberFormat="1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Protection="1">
      <protection locked="0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7" fillId="0" borderId="9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6" fillId="0" borderId="11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1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4" fillId="0" borderId="0" xfId="0" applyFont="1" applyAlignment="1">
      <alignment horizontal="center"/>
    </xf>
    <xf numFmtId="0" fontId="3" fillId="0" borderId="12" xfId="0" applyFont="1" applyBorder="1" applyAlignment="1" applyProtection="1">
      <alignment horizontal="center"/>
      <protection locked="0"/>
    </xf>
    <xf numFmtId="0" fontId="3" fillId="0" borderId="13" xfId="0" applyFont="1" applyBorder="1" applyAlignment="1" applyProtection="1">
      <alignment horizontal="center"/>
      <protection locked="0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4" fontId="0" fillId="0" borderId="5" xfId="0" applyNumberForma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A0BAC-1D20-C34D-9447-C5EE42E92021}">
  <dimension ref="A1:B43"/>
  <sheetViews>
    <sheetView zoomScale="130" zoomScaleNormal="130" workbookViewId="0"/>
  </sheetViews>
  <sheetFormatPr baseColWidth="10" defaultRowHeight="16" x14ac:dyDescent="0.2"/>
  <cols>
    <col min="2" max="2" width="10.83203125" style="1"/>
  </cols>
  <sheetData>
    <row r="1" spans="1:2" x14ac:dyDescent="0.2">
      <c r="A1" t="s">
        <v>0</v>
      </c>
      <c r="B1" s="1">
        <v>1.64</v>
      </c>
    </row>
    <row r="2" spans="1:2" x14ac:dyDescent="0.2">
      <c r="A2" t="s">
        <v>1</v>
      </c>
      <c r="B2" s="1">
        <v>8.1999999999999993</v>
      </c>
    </row>
    <row r="3" spans="1:2" x14ac:dyDescent="0.2">
      <c r="A3" t="s">
        <v>2</v>
      </c>
      <c r="B3" s="1">
        <v>2.46</v>
      </c>
    </row>
    <row r="4" spans="1:2" x14ac:dyDescent="0.2">
      <c r="A4" t="s">
        <v>3</v>
      </c>
      <c r="B4" s="1">
        <v>10.25</v>
      </c>
    </row>
    <row r="5" spans="1:2" x14ac:dyDescent="0.2">
      <c r="A5" t="s">
        <v>4</v>
      </c>
      <c r="B5" s="1">
        <v>0.52</v>
      </c>
    </row>
    <row r="6" spans="1:2" x14ac:dyDescent="0.2">
      <c r="A6" t="s">
        <v>5</v>
      </c>
      <c r="B6" s="1">
        <v>20.5</v>
      </c>
    </row>
    <row r="7" spans="1:2" x14ac:dyDescent="0.2">
      <c r="A7" t="s">
        <v>6</v>
      </c>
      <c r="B7" s="1">
        <v>4.0999999999999996</v>
      </c>
    </row>
    <row r="8" spans="1:2" x14ac:dyDescent="0.2">
      <c r="A8" t="s">
        <v>7</v>
      </c>
      <c r="B8" s="1">
        <v>2.46</v>
      </c>
    </row>
    <row r="9" spans="1:2" x14ac:dyDescent="0.2">
      <c r="A9" t="s">
        <v>8</v>
      </c>
      <c r="B9" s="1">
        <v>1.85</v>
      </c>
    </row>
    <row r="10" spans="1:2" x14ac:dyDescent="0.2">
      <c r="A10" t="s">
        <v>9</v>
      </c>
      <c r="B10" s="1">
        <v>1.85</v>
      </c>
    </row>
    <row r="11" spans="1:2" x14ac:dyDescent="0.2">
      <c r="A11" t="s">
        <v>10</v>
      </c>
      <c r="B11" s="1">
        <v>1.22</v>
      </c>
    </row>
    <row r="12" spans="1:2" x14ac:dyDescent="0.2">
      <c r="A12" t="s">
        <v>11</v>
      </c>
      <c r="B12" s="1">
        <v>6.56</v>
      </c>
    </row>
    <row r="13" spans="1:2" x14ac:dyDescent="0.2">
      <c r="A13" t="s">
        <v>12</v>
      </c>
      <c r="B13" s="1">
        <v>1.64</v>
      </c>
    </row>
    <row r="14" spans="1:2" x14ac:dyDescent="0.2">
      <c r="A14" t="s">
        <v>13</v>
      </c>
      <c r="B14" s="1">
        <v>1.64</v>
      </c>
    </row>
    <row r="15" spans="1:2" x14ac:dyDescent="0.2">
      <c r="A15" t="s">
        <v>14</v>
      </c>
      <c r="B15" s="1">
        <v>2.46</v>
      </c>
    </row>
    <row r="16" spans="1:2" x14ac:dyDescent="0.2">
      <c r="A16" t="s">
        <v>15</v>
      </c>
      <c r="B16" s="1">
        <v>2.87</v>
      </c>
    </row>
    <row r="17" spans="1:2" x14ac:dyDescent="0.2">
      <c r="A17" t="s">
        <v>16</v>
      </c>
      <c r="B17" s="1">
        <v>4.0999999999999996</v>
      </c>
    </row>
    <row r="18" spans="1:2" x14ac:dyDescent="0.2">
      <c r="A18" t="s">
        <v>17</v>
      </c>
      <c r="B18" s="1">
        <v>0.74</v>
      </c>
    </row>
    <row r="19" spans="1:2" x14ac:dyDescent="0.2">
      <c r="A19" t="s">
        <v>18</v>
      </c>
      <c r="B19" s="1">
        <v>4.0999999999999996</v>
      </c>
    </row>
    <row r="20" spans="1:2" x14ac:dyDescent="0.2">
      <c r="A20" t="s">
        <v>19</v>
      </c>
      <c r="B20" s="1">
        <v>4.0999999999999996</v>
      </c>
    </row>
    <row r="21" spans="1:2" x14ac:dyDescent="0.2">
      <c r="A21" t="s">
        <v>20</v>
      </c>
      <c r="B21" s="1">
        <v>8.1999999999999993</v>
      </c>
    </row>
    <row r="22" spans="1:2" x14ac:dyDescent="0.2">
      <c r="A22" t="s">
        <v>21</v>
      </c>
      <c r="B22" s="1">
        <v>5.74</v>
      </c>
    </row>
    <row r="23" spans="1:2" x14ac:dyDescent="0.2">
      <c r="A23" t="s">
        <v>22</v>
      </c>
      <c r="B23" s="1">
        <v>4.92</v>
      </c>
    </row>
    <row r="24" spans="1:2" x14ac:dyDescent="0.2">
      <c r="A24" t="s">
        <v>23</v>
      </c>
      <c r="B24" s="1">
        <v>12.3</v>
      </c>
    </row>
    <row r="25" spans="1:2" x14ac:dyDescent="0.2">
      <c r="A25" t="s">
        <v>24</v>
      </c>
      <c r="B25" s="1">
        <v>6.56</v>
      </c>
    </row>
    <row r="26" spans="1:2" x14ac:dyDescent="0.2">
      <c r="A26" t="s">
        <v>25</v>
      </c>
      <c r="B26" s="1">
        <v>4.0999999999999996</v>
      </c>
    </row>
    <row r="27" spans="1:2" x14ac:dyDescent="0.2">
      <c r="A27" t="s">
        <v>26</v>
      </c>
      <c r="B27" s="1">
        <v>0.41</v>
      </c>
    </row>
    <row r="28" spans="1:2" x14ac:dyDescent="0.2">
      <c r="A28" t="s">
        <v>27</v>
      </c>
      <c r="B28" s="1">
        <v>8.1999999999999993</v>
      </c>
    </row>
    <row r="29" spans="1:2" x14ac:dyDescent="0.2">
      <c r="A29" t="s">
        <v>28</v>
      </c>
      <c r="B29" s="1">
        <v>0.62</v>
      </c>
    </row>
    <row r="30" spans="1:2" x14ac:dyDescent="0.2">
      <c r="A30" t="s">
        <v>30</v>
      </c>
      <c r="B30" s="1">
        <v>0.48</v>
      </c>
    </row>
    <row r="31" spans="1:2" x14ac:dyDescent="0.2">
      <c r="A31" t="s">
        <v>31</v>
      </c>
      <c r="B31" s="1">
        <v>0.37</v>
      </c>
    </row>
    <row r="32" spans="1:2" x14ac:dyDescent="0.2">
      <c r="A32" t="s">
        <v>29</v>
      </c>
      <c r="B32" s="1">
        <v>39.36</v>
      </c>
    </row>
    <row r="33" spans="1:2" x14ac:dyDescent="0.2">
      <c r="A33" t="s">
        <v>32</v>
      </c>
      <c r="B33" s="1">
        <v>49.2</v>
      </c>
    </row>
    <row r="34" spans="1:2" x14ac:dyDescent="0.2">
      <c r="A34" t="s">
        <v>33</v>
      </c>
      <c r="B34" s="1">
        <v>55.76</v>
      </c>
    </row>
    <row r="35" spans="1:2" x14ac:dyDescent="0.2">
      <c r="A35" t="s">
        <v>34</v>
      </c>
      <c r="B35" s="1">
        <v>39.36</v>
      </c>
    </row>
    <row r="36" spans="1:2" x14ac:dyDescent="0.2">
      <c r="A36" t="s">
        <v>35</v>
      </c>
      <c r="B36" s="1">
        <v>16.399999999999999</v>
      </c>
    </row>
    <row r="37" spans="1:2" x14ac:dyDescent="0.2">
      <c r="A37" t="s">
        <v>36</v>
      </c>
      <c r="B37" s="1">
        <v>45.1</v>
      </c>
    </row>
    <row r="38" spans="1:2" x14ac:dyDescent="0.2">
      <c r="A38" t="s">
        <v>37</v>
      </c>
      <c r="B38" s="1">
        <v>36.9</v>
      </c>
    </row>
    <row r="39" spans="1:2" x14ac:dyDescent="0.2">
      <c r="A39" t="s">
        <v>38</v>
      </c>
      <c r="B39" s="1">
        <v>20.5</v>
      </c>
    </row>
    <row r="40" spans="1:2" x14ac:dyDescent="0.2">
      <c r="A40" t="s">
        <v>39</v>
      </c>
      <c r="B40" s="1">
        <v>41</v>
      </c>
    </row>
    <row r="41" spans="1:2" x14ac:dyDescent="0.2">
      <c r="A41" t="s">
        <v>40</v>
      </c>
      <c r="B41" s="1">
        <v>16.399999999999999</v>
      </c>
    </row>
    <row r="42" spans="1:2" x14ac:dyDescent="0.2">
      <c r="A42" t="s">
        <v>41</v>
      </c>
      <c r="B42" s="1">
        <v>8.1999999999999993</v>
      </c>
    </row>
    <row r="43" spans="1:2" x14ac:dyDescent="0.2">
      <c r="A43" t="s">
        <v>42</v>
      </c>
      <c r="B43" s="1">
        <v>82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B679C-5EFB-9E40-B100-EE343B7898A6}">
  <dimension ref="A1:N35"/>
  <sheetViews>
    <sheetView showGridLines="0" zoomScale="130" zoomScaleNormal="130" zoomScalePageLayoutView="130" workbookViewId="0">
      <selection activeCell="A4" sqref="A4"/>
    </sheetView>
  </sheetViews>
  <sheetFormatPr baseColWidth="10" defaultColWidth="0" defaultRowHeight="16" zeroHeight="1" x14ac:dyDescent="0.2"/>
  <cols>
    <col min="1" max="1" width="9.1640625" customWidth="1"/>
    <col min="2" max="3" width="10.5" customWidth="1"/>
    <col min="4" max="4" width="8.5" customWidth="1"/>
    <col min="5" max="5" width="9.5" customWidth="1"/>
    <col min="6" max="6" width="9.33203125" customWidth="1"/>
    <col min="7" max="7" width="10" customWidth="1"/>
    <col min="8" max="8" width="4.33203125" bestFit="1" customWidth="1"/>
    <col min="9" max="9" width="9.83203125" customWidth="1"/>
    <col min="10" max="10" width="10.6640625" customWidth="1"/>
    <col min="11" max="11" width="8" customWidth="1"/>
    <col min="12" max="12" width="7.5" customWidth="1"/>
    <col min="13" max="13" width="6.5" customWidth="1"/>
    <col min="14" max="14" width="7.6640625" customWidth="1"/>
    <col min="15" max="16384" width="10.83203125" hidden="1"/>
  </cols>
  <sheetData>
    <row r="1" spans="1:14" x14ac:dyDescent="0.2">
      <c r="A1" s="18" t="s">
        <v>53</v>
      </c>
      <c r="B1" s="19"/>
      <c r="C1" s="20"/>
      <c r="D1" s="24" t="s">
        <v>56</v>
      </c>
      <c r="E1" s="25"/>
      <c r="F1" s="25"/>
      <c r="G1" s="25"/>
      <c r="H1" s="25"/>
      <c r="I1" s="26"/>
      <c r="J1" s="9" t="s">
        <v>57</v>
      </c>
      <c r="K1" s="35"/>
      <c r="L1" s="35"/>
      <c r="M1" s="35"/>
      <c r="N1" s="36"/>
    </row>
    <row r="2" spans="1:14" ht="14" customHeight="1" thickBot="1" x14ac:dyDescent="0.25">
      <c r="A2" s="8" t="s">
        <v>54</v>
      </c>
      <c r="B2" s="21" t="s">
        <v>55</v>
      </c>
      <c r="C2" s="22"/>
      <c r="D2" s="27"/>
      <c r="E2" s="28"/>
      <c r="F2" s="28"/>
      <c r="G2" s="28"/>
      <c r="H2" s="28"/>
      <c r="I2" s="29"/>
      <c r="J2" s="10"/>
      <c r="K2" s="37"/>
      <c r="L2" s="37"/>
      <c r="M2" s="37"/>
      <c r="N2" s="38"/>
    </row>
    <row r="3" spans="1:14" s="3" customFormat="1" ht="14" x14ac:dyDescent="0.2">
      <c r="A3" s="7" t="s">
        <v>43</v>
      </c>
      <c r="B3" s="23" t="s">
        <v>44</v>
      </c>
      <c r="C3" s="23"/>
      <c r="D3" s="23" t="s">
        <v>45</v>
      </c>
      <c r="E3" s="23"/>
      <c r="F3" s="23"/>
      <c r="G3" s="7" t="s">
        <v>46</v>
      </c>
      <c r="H3" s="7" t="s">
        <v>47</v>
      </c>
      <c r="I3" s="7" t="s">
        <v>48</v>
      </c>
      <c r="J3" s="7" t="s">
        <v>49</v>
      </c>
      <c r="K3" s="23" t="s">
        <v>50</v>
      </c>
      <c r="L3" s="23"/>
      <c r="M3" s="23"/>
      <c r="N3" s="7" t="s">
        <v>51</v>
      </c>
    </row>
    <row r="4" spans="1:14" ht="19" customHeight="1" x14ac:dyDescent="0.2">
      <c r="A4" s="12"/>
      <c r="B4" s="30"/>
      <c r="C4" s="30"/>
      <c r="D4" s="30"/>
      <c r="E4" s="30"/>
      <c r="F4" s="30"/>
      <c r="G4" s="14"/>
      <c r="H4" s="14"/>
      <c r="I4" s="5" t="str">
        <f>IFERROR(_xlfn.XLOOKUP(G4,'Job Codes'!$A$1:$A$43,'Job Codes'!$B$1:$B$43),"")</f>
        <v/>
      </c>
      <c r="J4" s="11" t="str">
        <f>IFERROR(H4*I4,"")</f>
        <v/>
      </c>
      <c r="K4" s="30"/>
      <c r="L4" s="30"/>
      <c r="M4" s="30"/>
      <c r="N4" s="2"/>
    </row>
    <row r="5" spans="1:14" ht="19" customHeight="1" x14ac:dyDescent="0.2">
      <c r="A5" s="12"/>
      <c r="B5" s="31"/>
      <c r="C5" s="33"/>
      <c r="D5" s="31"/>
      <c r="E5" s="32"/>
      <c r="F5" s="33"/>
      <c r="G5" s="14"/>
      <c r="H5" s="14"/>
      <c r="I5" s="5" t="str">
        <f>IFERROR(_xlfn.XLOOKUP(G5,'Job Codes'!$A$1:$A$43,'Job Codes'!$B$1:$B$43),"")</f>
        <v/>
      </c>
      <c r="J5" s="11" t="str">
        <f t="shared" ref="J5:J23" si="0">IFERROR(H5*I5,"")</f>
        <v/>
      </c>
      <c r="K5" s="31"/>
      <c r="L5" s="32"/>
      <c r="M5" s="33"/>
      <c r="N5" s="2"/>
    </row>
    <row r="6" spans="1:14" ht="19" customHeight="1" x14ac:dyDescent="0.2">
      <c r="A6" s="12"/>
      <c r="B6" s="31"/>
      <c r="C6" s="33"/>
      <c r="D6" s="31"/>
      <c r="E6" s="32"/>
      <c r="F6" s="33"/>
      <c r="G6" s="14"/>
      <c r="H6" s="14"/>
      <c r="I6" s="5" t="str">
        <f>IFERROR(_xlfn.XLOOKUP(G6,'Job Codes'!$A$1:$A$43,'Job Codes'!$B$1:$B$43),"")</f>
        <v/>
      </c>
      <c r="J6" s="11" t="str">
        <f t="shared" si="0"/>
        <v/>
      </c>
      <c r="K6" s="31"/>
      <c r="L6" s="32"/>
      <c r="M6" s="33"/>
      <c r="N6" s="2"/>
    </row>
    <row r="7" spans="1:14" ht="19" customHeight="1" x14ac:dyDescent="0.2">
      <c r="A7" s="12"/>
      <c r="B7" s="31"/>
      <c r="C7" s="33"/>
      <c r="D7" s="31"/>
      <c r="E7" s="32"/>
      <c r="F7" s="33"/>
      <c r="G7" s="14"/>
      <c r="H7" s="14"/>
      <c r="I7" s="5" t="str">
        <f>IFERROR(_xlfn.XLOOKUP(G7,'Job Codes'!$A$1:$A$43,'Job Codes'!$B$1:$B$43),"")</f>
        <v/>
      </c>
      <c r="J7" s="11" t="str">
        <f t="shared" si="0"/>
        <v/>
      </c>
      <c r="K7" s="31"/>
      <c r="L7" s="32"/>
      <c r="M7" s="33"/>
      <c r="N7" s="2"/>
    </row>
    <row r="8" spans="1:14" ht="19" customHeight="1" x14ac:dyDescent="0.2">
      <c r="A8" s="12"/>
      <c r="B8" s="31"/>
      <c r="C8" s="33"/>
      <c r="D8" s="31"/>
      <c r="E8" s="32"/>
      <c r="F8" s="33"/>
      <c r="G8" s="14"/>
      <c r="H8" s="14"/>
      <c r="I8" s="5" t="str">
        <f>IFERROR(_xlfn.XLOOKUP(G8,'Job Codes'!$A$1:$A$43,'Job Codes'!$B$1:$B$43),"")</f>
        <v/>
      </c>
      <c r="J8" s="11" t="str">
        <f t="shared" si="0"/>
        <v/>
      </c>
      <c r="K8" s="31"/>
      <c r="L8" s="32"/>
      <c r="M8" s="33"/>
      <c r="N8" s="2"/>
    </row>
    <row r="9" spans="1:14" ht="19" customHeight="1" x14ac:dyDescent="0.2">
      <c r="A9" s="12"/>
      <c r="B9" s="31"/>
      <c r="C9" s="33"/>
      <c r="D9" s="31"/>
      <c r="E9" s="32"/>
      <c r="F9" s="33"/>
      <c r="G9" s="14"/>
      <c r="H9" s="14"/>
      <c r="I9" s="5" t="str">
        <f>IFERROR(_xlfn.XLOOKUP(G9,'Job Codes'!$A$1:$A$43,'Job Codes'!$B$1:$B$43),"")</f>
        <v/>
      </c>
      <c r="J9" s="11" t="str">
        <f t="shared" si="0"/>
        <v/>
      </c>
      <c r="K9" s="31"/>
      <c r="L9" s="32"/>
      <c r="M9" s="33"/>
      <c r="N9" s="2"/>
    </row>
    <row r="10" spans="1:14" ht="19" customHeight="1" x14ac:dyDescent="0.2">
      <c r="A10" s="12"/>
      <c r="B10" s="31"/>
      <c r="C10" s="33"/>
      <c r="D10" s="31"/>
      <c r="E10" s="32"/>
      <c r="F10" s="33"/>
      <c r="G10" s="14"/>
      <c r="H10" s="14"/>
      <c r="I10" s="5" t="str">
        <f>IFERROR(_xlfn.XLOOKUP(G10,'Job Codes'!$A$1:$A$43,'Job Codes'!$B$1:$B$43),"")</f>
        <v/>
      </c>
      <c r="J10" s="11" t="str">
        <f t="shared" si="0"/>
        <v/>
      </c>
      <c r="K10" s="31"/>
      <c r="L10" s="32"/>
      <c r="M10" s="33"/>
      <c r="N10" s="2"/>
    </row>
    <row r="11" spans="1:14" ht="19" customHeight="1" x14ac:dyDescent="0.2">
      <c r="A11" s="12"/>
      <c r="B11" s="31"/>
      <c r="C11" s="33"/>
      <c r="D11" s="31"/>
      <c r="E11" s="32"/>
      <c r="F11" s="33"/>
      <c r="G11" s="14"/>
      <c r="H11" s="14"/>
      <c r="I11" s="5" t="str">
        <f>IFERROR(_xlfn.XLOOKUP(G11,'Job Codes'!$A$1:$A$43,'Job Codes'!$B$1:$B$43),"")</f>
        <v/>
      </c>
      <c r="J11" s="11" t="str">
        <f t="shared" si="0"/>
        <v/>
      </c>
      <c r="K11" s="31"/>
      <c r="L11" s="32"/>
      <c r="M11" s="33"/>
      <c r="N11" s="2"/>
    </row>
    <row r="12" spans="1:14" ht="19" customHeight="1" x14ac:dyDescent="0.2">
      <c r="A12" s="12"/>
      <c r="B12" s="31"/>
      <c r="C12" s="33"/>
      <c r="D12" s="31"/>
      <c r="E12" s="32"/>
      <c r="F12" s="33"/>
      <c r="G12" s="13"/>
      <c r="H12" s="14"/>
      <c r="I12" s="5" t="str">
        <f>IFERROR(_xlfn.XLOOKUP(G12,'Job Codes'!$A$1:$A$43,'Job Codes'!$B$1:$B$43),"")</f>
        <v/>
      </c>
      <c r="J12" s="11" t="str">
        <f t="shared" si="0"/>
        <v/>
      </c>
      <c r="K12" s="31"/>
      <c r="L12" s="32"/>
      <c r="M12" s="33"/>
      <c r="N12" s="2"/>
    </row>
    <row r="13" spans="1:14" ht="19" customHeight="1" x14ac:dyDescent="0.2">
      <c r="A13" s="12"/>
      <c r="B13" s="31"/>
      <c r="C13" s="33"/>
      <c r="D13" s="31"/>
      <c r="E13" s="32"/>
      <c r="F13" s="33"/>
      <c r="G13" s="14"/>
      <c r="H13" s="14"/>
      <c r="I13" s="5" t="str">
        <f>IFERROR(_xlfn.XLOOKUP(G13,'Job Codes'!$A$1:$A$43,'Job Codes'!$B$1:$B$43),"")</f>
        <v/>
      </c>
      <c r="J13" s="11" t="str">
        <f t="shared" si="0"/>
        <v/>
      </c>
      <c r="K13" s="31"/>
      <c r="L13" s="32"/>
      <c r="M13" s="33"/>
      <c r="N13" s="2"/>
    </row>
    <row r="14" spans="1:14" ht="19" customHeight="1" x14ac:dyDescent="0.2">
      <c r="A14" s="12"/>
      <c r="B14" s="31"/>
      <c r="C14" s="33"/>
      <c r="D14" s="31"/>
      <c r="E14" s="32"/>
      <c r="F14" s="33"/>
      <c r="G14" s="14"/>
      <c r="H14" s="14"/>
      <c r="I14" s="5" t="str">
        <f>IFERROR(_xlfn.XLOOKUP(G14,'Job Codes'!$A$1:$A$43,'Job Codes'!$B$1:$B$43),"")</f>
        <v/>
      </c>
      <c r="J14" s="11" t="str">
        <f t="shared" si="0"/>
        <v/>
      </c>
      <c r="K14" s="31"/>
      <c r="L14" s="32"/>
      <c r="M14" s="33"/>
      <c r="N14" s="2"/>
    </row>
    <row r="15" spans="1:14" ht="19" customHeight="1" x14ac:dyDescent="0.2">
      <c r="A15" s="12"/>
      <c r="B15" s="31"/>
      <c r="C15" s="33"/>
      <c r="D15" s="31"/>
      <c r="E15" s="32"/>
      <c r="F15" s="33"/>
      <c r="G15" s="14"/>
      <c r="H15" s="14"/>
      <c r="I15" s="5" t="str">
        <f>IFERROR(_xlfn.XLOOKUP(G15,'Job Codes'!$A$1:$A$43,'Job Codes'!$B$1:$B$43),"")</f>
        <v/>
      </c>
      <c r="J15" s="11" t="str">
        <f t="shared" si="0"/>
        <v/>
      </c>
      <c r="K15" s="31"/>
      <c r="L15" s="32"/>
      <c r="M15" s="33"/>
      <c r="N15" s="2"/>
    </row>
    <row r="16" spans="1:14" ht="19" customHeight="1" x14ac:dyDescent="0.2">
      <c r="A16" s="12"/>
      <c r="B16" s="31"/>
      <c r="C16" s="33"/>
      <c r="D16" s="31"/>
      <c r="E16" s="32"/>
      <c r="F16" s="33"/>
      <c r="G16" s="14"/>
      <c r="H16" s="14"/>
      <c r="I16" s="5" t="str">
        <f>IFERROR(_xlfn.XLOOKUP(G16,'Job Codes'!$A$1:$A$43,'Job Codes'!$B$1:$B$43),"")</f>
        <v/>
      </c>
      <c r="J16" s="11" t="str">
        <f t="shared" si="0"/>
        <v/>
      </c>
      <c r="K16" s="31"/>
      <c r="L16" s="32"/>
      <c r="M16" s="33"/>
      <c r="N16" s="2"/>
    </row>
    <row r="17" spans="1:14" ht="19" customHeight="1" x14ac:dyDescent="0.2">
      <c r="A17" s="12"/>
      <c r="B17" s="31"/>
      <c r="C17" s="33"/>
      <c r="D17" s="31"/>
      <c r="E17" s="32"/>
      <c r="F17" s="33"/>
      <c r="G17" s="14"/>
      <c r="H17" s="14"/>
      <c r="I17" s="5" t="str">
        <f>IFERROR(_xlfn.XLOOKUP(G17,'Job Codes'!$A$1:$A$43,'Job Codes'!$B$1:$B$43),"")</f>
        <v/>
      </c>
      <c r="J17" s="11" t="str">
        <f t="shared" si="0"/>
        <v/>
      </c>
      <c r="K17" s="31"/>
      <c r="L17" s="32"/>
      <c r="M17" s="33"/>
      <c r="N17" s="2"/>
    </row>
    <row r="18" spans="1:14" ht="19" customHeight="1" x14ac:dyDescent="0.2">
      <c r="A18" s="12"/>
      <c r="B18" s="31"/>
      <c r="C18" s="33"/>
      <c r="D18" s="31"/>
      <c r="E18" s="32"/>
      <c r="F18" s="33"/>
      <c r="G18" s="14"/>
      <c r="H18" s="14"/>
      <c r="I18" s="5" t="str">
        <f>IFERROR(_xlfn.XLOOKUP(G18,'Job Codes'!$A$1:$A$43,'Job Codes'!$B$1:$B$43),"")</f>
        <v/>
      </c>
      <c r="J18" s="11" t="str">
        <f t="shared" si="0"/>
        <v/>
      </c>
      <c r="K18" s="31"/>
      <c r="L18" s="32"/>
      <c r="M18" s="33"/>
      <c r="N18" s="2"/>
    </row>
    <row r="19" spans="1:14" ht="19" customHeight="1" x14ac:dyDescent="0.2">
      <c r="A19" s="12"/>
      <c r="B19" s="31"/>
      <c r="C19" s="33"/>
      <c r="D19" s="31"/>
      <c r="E19" s="32"/>
      <c r="F19" s="33"/>
      <c r="G19" s="14"/>
      <c r="H19" s="14"/>
      <c r="I19" s="5" t="str">
        <f>IFERROR(_xlfn.XLOOKUP(G19,'Job Codes'!$A$1:$A$43,'Job Codes'!$B$1:$B$43),"")</f>
        <v/>
      </c>
      <c r="J19" s="11" t="str">
        <f t="shared" si="0"/>
        <v/>
      </c>
      <c r="K19" s="31"/>
      <c r="L19" s="32"/>
      <c r="M19" s="33"/>
      <c r="N19" s="2"/>
    </row>
    <row r="20" spans="1:14" ht="19" customHeight="1" x14ac:dyDescent="0.2">
      <c r="A20" s="12"/>
      <c r="B20" s="31"/>
      <c r="C20" s="33"/>
      <c r="D20" s="31"/>
      <c r="E20" s="32"/>
      <c r="F20" s="33"/>
      <c r="G20" s="14"/>
      <c r="H20" s="14"/>
      <c r="I20" s="5" t="str">
        <f>IFERROR(_xlfn.XLOOKUP(G20,'Job Codes'!$A$1:$A$43,'Job Codes'!$B$1:$B$43),"")</f>
        <v/>
      </c>
      <c r="J20" s="11" t="str">
        <f t="shared" si="0"/>
        <v/>
      </c>
      <c r="K20" s="31"/>
      <c r="L20" s="32"/>
      <c r="M20" s="33"/>
      <c r="N20" s="2"/>
    </row>
    <row r="21" spans="1:14" ht="19" customHeight="1" x14ac:dyDescent="0.2">
      <c r="A21" s="12"/>
      <c r="B21" s="31"/>
      <c r="C21" s="33"/>
      <c r="D21" s="31"/>
      <c r="E21" s="32"/>
      <c r="F21" s="33"/>
      <c r="G21" s="14"/>
      <c r="H21" s="14"/>
      <c r="I21" s="5" t="str">
        <f>IFERROR(_xlfn.XLOOKUP(G21,'Job Codes'!$A$1:$A$43,'Job Codes'!$B$1:$B$43),"")</f>
        <v/>
      </c>
      <c r="J21" s="11" t="str">
        <f t="shared" si="0"/>
        <v/>
      </c>
      <c r="K21" s="31"/>
      <c r="L21" s="32"/>
      <c r="M21" s="33"/>
      <c r="N21" s="2"/>
    </row>
    <row r="22" spans="1:14" ht="19" customHeight="1" x14ac:dyDescent="0.2">
      <c r="A22" s="12"/>
      <c r="B22" s="31"/>
      <c r="C22" s="33"/>
      <c r="D22" s="31"/>
      <c r="E22" s="32"/>
      <c r="F22" s="33"/>
      <c r="G22" s="14"/>
      <c r="H22" s="14"/>
      <c r="I22" s="5" t="str">
        <f>IFERROR(_xlfn.XLOOKUP(G22,'Job Codes'!$A$1:$A$43,'Job Codes'!$B$1:$B$43),"")</f>
        <v/>
      </c>
      <c r="J22" s="11" t="str">
        <f t="shared" si="0"/>
        <v/>
      </c>
      <c r="K22" s="31"/>
      <c r="L22" s="32"/>
      <c r="M22" s="33"/>
      <c r="N22" s="2"/>
    </row>
    <row r="23" spans="1:14" ht="19" customHeight="1" x14ac:dyDescent="0.2">
      <c r="A23" s="12"/>
      <c r="B23" s="31"/>
      <c r="C23" s="33"/>
      <c r="D23" s="31"/>
      <c r="E23" s="32"/>
      <c r="F23" s="33"/>
      <c r="G23" s="14"/>
      <c r="H23" s="14"/>
      <c r="I23" s="5" t="str">
        <f>IFERROR(_xlfn.XLOOKUP(G23,'Job Codes'!$A$1:$A$43,'Job Codes'!$B$1:$B$43),"")</f>
        <v/>
      </c>
      <c r="J23" s="11" t="str">
        <f t="shared" si="0"/>
        <v/>
      </c>
      <c r="K23" s="31"/>
      <c r="L23" s="32"/>
      <c r="M23" s="33"/>
      <c r="N23" s="2"/>
    </row>
    <row r="24" spans="1:14" ht="25" customHeight="1" x14ac:dyDescent="0.2">
      <c r="I24" s="6" t="s">
        <v>52</v>
      </c>
      <c r="J24" s="5">
        <f>SUM(J4:J23)</f>
        <v>0</v>
      </c>
    </row>
    <row r="25" spans="1:14" ht="16" customHeight="1" x14ac:dyDescent="0.2">
      <c r="A25" s="4" t="s">
        <v>61</v>
      </c>
    </row>
    <row r="26" spans="1:14" ht="16" customHeight="1" x14ac:dyDescent="0.2">
      <c r="A26" s="4" t="s">
        <v>62</v>
      </c>
    </row>
    <row r="27" spans="1:14" ht="16" customHeight="1" thickBot="1" x14ac:dyDescent="0.25">
      <c r="A27" s="4" t="s">
        <v>63</v>
      </c>
      <c r="J27" s="15" t="s">
        <v>58</v>
      </c>
      <c r="K27" s="17"/>
      <c r="L27" s="16" t="s">
        <v>59</v>
      </c>
      <c r="M27" s="17"/>
      <c r="N27" t="s">
        <v>60</v>
      </c>
    </row>
    <row r="28" spans="1:14" ht="16" customHeight="1" x14ac:dyDescent="0.2">
      <c r="A28" s="4" t="s">
        <v>64</v>
      </c>
      <c r="J28" s="39" t="s">
        <v>70</v>
      </c>
      <c r="K28" s="40"/>
      <c r="L28" s="41"/>
      <c r="M28" s="41"/>
      <c r="N28" s="42"/>
    </row>
    <row r="29" spans="1:14" ht="16" customHeight="1" thickBot="1" x14ac:dyDescent="0.25">
      <c r="A29" s="4" t="s">
        <v>65</v>
      </c>
      <c r="J29" s="39"/>
      <c r="K29" s="43"/>
      <c r="L29" s="44"/>
      <c r="M29" s="44"/>
      <c r="N29" s="45"/>
    </row>
    <row r="30" spans="1:14" ht="16" customHeight="1" x14ac:dyDescent="0.2">
      <c r="A30" s="4" t="s">
        <v>66</v>
      </c>
    </row>
    <row r="31" spans="1:14" ht="16" customHeight="1" x14ac:dyDescent="0.2">
      <c r="A31" s="4" t="s">
        <v>67</v>
      </c>
    </row>
    <row r="32" spans="1:14" ht="16" customHeight="1" x14ac:dyDescent="0.2">
      <c r="A32" s="4" t="s">
        <v>68</v>
      </c>
    </row>
    <row r="33" spans="1:14" ht="16" customHeight="1" x14ac:dyDescent="0.2">
      <c r="A33" s="4" t="s">
        <v>69</v>
      </c>
    </row>
    <row r="34" spans="1:14" ht="16" customHeight="1" x14ac:dyDescent="0.2">
      <c r="A34" s="4" t="s">
        <v>72</v>
      </c>
    </row>
    <row r="35" spans="1:14" ht="23" customHeight="1" x14ac:dyDescent="0.25">
      <c r="A35" s="34" t="s">
        <v>71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</row>
  </sheetData>
  <mergeCells count="71">
    <mergeCell ref="A35:N35"/>
    <mergeCell ref="K1:N1"/>
    <mergeCell ref="K2:N2"/>
    <mergeCell ref="B11:C11"/>
    <mergeCell ref="B10:C10"/>
    <mergeCell ref="B9:C9"/>
    <mergeCell ref="B8:C8"/>
    <mergeCell ref="J28:J29"/>
    <mergeCell ref="K28:N29"/>
    <mergeCell ref="B17:C17"/>
    <mergeCell ref="B16:C16"/>
    <mergeCell ref="B15:C15"/>
    <mergeCell ref="B14:C14"/>
    <mergeCell ref="B13:C13"/>
    <mergeCell ref="B12:C12"/>
    <mergeCell ref="B23:C23"/>
    <mergeCell ref="D11:F11"/>
    <mergeCell ref="D10:F10"/>
    <mergeCell ref="B22:C22"/>
    <mergeCell ref="B21:C21"/>
    <mergeCell ref="B20:C20"/>
    <mergeCell ref="B19:C19"/>
    <mergeCell ref="B18:C18"/>
    <mergeCell ref="D9:F9"/>
    <mergeCell ref="B7:C7"/>
    <mergeCell ref="D23:F23"/>
    <mergeCell ref="D22:F22"/>
    <mergeCell ref="D21:F21"/>
    <mergeCell ref="D20:F20"/>
    <mergeCell ref="D19:F19"/>
    <mergeCell ref="D18:F18"/>
    <mergeCell ref="D17:F17"/>
    <mergeCell ref="D16:F16"/>
    <mergeCell ref="D15:F15"/>
    <mergeCell ref="D7:F7"/>
    <mergeCell ref="D8:F8"/>
    <mergeCell ref="D14:F14"/>
    <mergeCell ref="D13:F13"/>
    <mergeCell ref="D12:F12"/>
    <mergeCell ref="K11:M11"/>
    <mergeCell ref="K10:M10"/>
    <mergeCell ref="K9:M9"/>
    <mergeCell ref="K8:M8"/>
    <mergeCell ref="K7:M7"/>
    <mergeCell ref="K12:M12"/>
    <mergeCell ref="K23:M23"/>
    <mergeCell ref="K22:M22"/>
    <mergeCell ref="K21:M21"/>
    <mergeCell ref="K20:M20"/>
    <mergeCell ref="K19:M19"/>
    <mergeCell ref="K18:M18"/>
    <mergeCell ref="K17:M17"/>
    <mergeCell ref="K16:M16"/>
    <mergeCell ref="K15:M15"/>
    <mergeCell ref="K14:M14"/>
    <mergeCell ref="K13:M13"/>
    <mergeCell ref="K3:M3"/>
    <mergeCell ref="K4:M4"/>
    <mergeCell ref="D4:F4"/>
    <mergeCell ref="B4:C4"/>
    <mergeCell ref="K6:M6"/>
    <mergeCell ref="D6:F6"/>
    <mergeCell ref="B6:C6"/>
    <mergeCell ref="K5:M5"/>
    <mergeCell ref="D5:F5"/>
    <mergeCell ref="B5:C5"/>
    <mergeCell ref="A1:C1"/>
    <mergeCell ref="B2:C2"/>
    <mergeCell ref="B3:C3"/>
    <mergeCell ref="D1:I2"/>
    <mergeCell ref="D3:F3"/>
  </mergeCells>
  <printOptions horizontalCentered="1" verticalCentered="1"/>
  <pageMargins left="0.25" right="0.25" top="0.25" bottom="0.25" header="0.3" footer="0.3"/>
  <pageSetup orientation="landscape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r" error="Invalid input" promptTitle="Select Job Code" xr:uid="{A23A68ED-4026-254E-9F69-0AEE8182606B}">
          <x14:formula1>
            <xm:f>'Job Codes'!$A$1:$A$43</xm:f>
          </x14:formula1>
          <xm:sqref>G4:G23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96560-AF8F-164C-A4F1-0C10B968C5A7}">
  <dimension ref="A1:N35"/>
  <sheetViews>
    <sheetView showGridLines="0" zoomScale="130" zoomScaleNormal="130" zoomScalePageLayoutView="130" workbookViewId="0">
      <selection activeCell="A4" sqref="A4"/>
    </sheetView>
  </sheetViews>
  <sheetFormatPr baseColWidth="10" defaultColWidth="0" defaultRowHeight="16" zeroHeight="1" x14ac:dyDescent="0.2"/>
  <cols>
    <col min="1" max="1" width="9.1640625" customWidth="1"/>
    <col min="2" max="3" width="10.5" customWidth="1"/>
    <col min="4" max="4" width="8.5" customWidth="1"/>
    <col min="5" max="5" width="9.5" customWidth="1"/>
    <col min="6" max="6" width="9.33203125" customWidth="1"/>
    <col min="7" max="7" width="10" customWidth="1"/>
    <col min="8" max="8" width="4.33203125" bestFit="1" customWidth="1"/>
    <col min="9" max="9" width="9.83203125" customWidth="1"/>
    <col min="10" max="10" width="10.6640625" customWidth="1"/>
    <col min="11" max="11" width="8" customWidth="1"/>
    <col min="12" max="12" width="7.5" customWidth="1"/>
    <col min="13" max="13" width="6.5" customWidth="1"/>
    <col min="14" max="14" width="7.6640625" customWidth="1"/>
    <col min="15" max="16384" width="10.83203125" hidden="1"/>
  </cols>
  <sheetData>
    <row r="1" spans="1:14" x14ac:dyDescent="0.2">
      <c r="A1" s="18" t="s">
        <v>53</v>
      </c>
      <c r="B1" s="19"/>
      <c r="C1" s="20"/>
      <c r="D1" s="24" t="s">
        <v>56</v>
      </c>
      <c r="E1" s="25"/>
      <c r="F1" s="25"/>
      <c r="G1" s="25"/>
      <c r="H1" s="25"/>
      <c r="I1" s="26"/>
      <c r="J1" s="9" t="s">
        <v>57</v>
      </c>
      <c r="K1" s="35"/>
      <c r="L1" s="35"/>
      <c r="M1" s="35"/>
      <c r="N1" s="36"/>
    </row>
    <row r="2" spans="1:14" ht="14" customHeight="1" thickBot="1" x14ac:dyDescent="0.25">
      <c r="A2" s="8" t="s">
        <v>54</v>
      </c>
      <c r="B2" s="21" t="s">
        <v>55</v>
      </c>
      <c r="C2" s="22"/>
      <c r="D2" s="27"/>
      <c r="E2" s="28"/>
      <c r="F2" s="28"/>
      <c r="G2" s="28"/>
      <c r="H2" s="28"/>
      <c r="I2" s="29"/>
      <c r="J2" s="10"/>
      <c r="K2" s="37"/>
      <c r="L2" s="37"/>
      <c r="M2" s="37"/>
      <c r="N2" s="38"/>
    </row>
    <row r="3" spans="1:14" s="3" customFormat="1" ht="14" x14ac:dyDescent="0.2">
      <c r="A3" s="7" t="s">
        <v>43</v>
      </c>
      <c r="B3" s="23" t="s">
        <v>44</v>
      </c>
      <c r="C3" s="23"/>
      <c r="D3" s="23" t="s">
        <v>45</v>
      </c>
      <c r="E3" s="23"/>
      <c r="F3" s="23"/>
      <c r="G3" s="7" t="s">
        <v>46</v>
      </c>
      <c r="H3" s="7" t="s">
        <v>47</v>
      </c>
      <c r="I3" s="7" t="s">
        <v>48</v>
      </c>
      <c r="J3" s="7" t="s">
        <v>49</v>
      </c>
      <c r="K3" s="23" t="s">
        <v>50</v>
      </c>
      <c r="L3" s="23"/>
      <c r="M3" s="23"/>
      <c r="N3" s="7" t="s">
        <v>51</v>
      </c>
    </row>
    <row r="4" spans="1:14" ht="19" customHeight="1" x14ac:dyDescent="0.2">
      <c r="A4" s="12"/>
      <c r="B4" s="30"/>
      <c r="C4" s="30"/>
      <c r="D4" s="30"/>
      <c r="E4" s="30"/>
      <c r="F4" s="30"/>
      <c r="G4" s="14"/>
      <c r="H4" s="14"/>
      <c r="I4" s="5" t="str">
        <f>IFERROR(_xlfn.XLOOKUP(G4,'Job Codes'!$A$1:$A$43,'Job Codes'!$B$1:$B$43),"")</f>
        <v/>
      </c>
      <c r="J4" s="11" t="str">
        <f>IFERROR(H4*I4,"")</f>
        <v/>
      </c>
      <c r="K4" s="30"/>
      <c r="L4" s="30"/>
      <c r="M4" s="30"/>
      <c r="N4" s="2"/>
    </row>
    <row r="5" spans="1:14" ht="19" customHeight="1" x14ac:dyDescent="0.2">
      <c r="A5" s="12"/>
      <c r="B5" s="31"/>
      <c r="C5" s="33"/>
      <c r="D5" s="31"/>
      <c r="E5" s="32"/>
      <c r="F5" s="33"/>
      <c r="G5" s="14"/>
      <c r="H5" s="14"/>
      <c r="I5" s="5" t="str">
        <f>IFERROR(_xlfn.XLOOKUP(G5,'Job Codes'!$A$1:$A$43,'Job Codes'!$B$1:$B$43),"")</f>
        <v/>
      </c>
      <c r="J5" s="11" t="str">
        <f t="shared" ref="J5:J23" si="0">IFERROR(H5*I5,"")</f>
        <v/>
      </c>
      <c r="K5" s="31"/>
      <c r="L5" s="32"/>
      <c r="M5" s="33"/>
      <c r="N5" s="2"/>
    </row>
    <row r="6" spans="1:14" ht="19" customHeight="1" x14ac:dyDescent="0.2">
      <c r="A6" s="12"/>
      <c r="B6" s="31"/>
      <c r="C6" s="33"/>
      <c r="D6" s="31"/>
      <c r="E6" s="32"/>
      <c r="F6" s="33"/>
      <c r="G6" s="14"/>
      <c r="H6" s="14"/>
      <c r="I6" s="5" t="str">
        <f>IFERROR(_xlfn.XLOOKUP(G6,'Job Codes'!$A$1:$A$43,'Job Codes'!$B$1:$B$43),"")</f>
        <v/>
      </c>
      <c r="J6" s="11" t="str">
        <f t="shared" si="0"/>
        <v/>
      </c>
      <c r="K6" s="31"/>
      <c r="L6" s="32"/>
      <c r="M6" s="33"/>
      <c r="N6" s="2"/>
    </row>
    <row r="7" spans="1:14" ht="19" customHeight="1" x14ac:dyDescent="0.2">
      <c r="A7" s="12"/>
      <c r="B7" s="31"/>
      <c r="C7" s="33"/>
      <c r="D7" s="31"/>
      <c r="E7" s="32"/>
      <c r="F7" s="33"/>
      <c r="G7" s="14"/>
      <c r="H7" s="14"/>
      <c r="I7" s="5" t="str">
        <f>IFERROR(_xlfn.XLOOKUP(G7,'Job Codes'!$A$1:$A$43,'Job Codes'!$B$1:$B$43),"")</f>
        <v/>
      </c>
      <c r="J7" s="11" t="str">
        <f t="shared" si="0"/>
        <v/>
      </c>
      <c r="K7" s="31"/>
      <c r="L7" s="32"/>
      <c r="M7" s="33"/>
      <c r="N7" s="2"/>
    </row>
    <row r="8" spans="1:14" ht="19" customHeight="1" x14ac:dyDescent="0.2">
      <c r="A8" s="12"/>
      <c r="B8" s="31"/>
      <c r="C8" s="33"/>
      <c r="D8" s="31"/>
      <c r="E8" s="32"/>
      <c r="F8" s="33"/>
      <c r="G8" s="14"/>
      <c r="H8" s="14"/>
      <c r="I8" s="5" t="str">
        <f>IFERROR(_xlfn.XLOOKUP(G8,'Job Codes'!$A$1:$A$43,'Job Codes'!$B$1:$B$43),"")</f>
        <v/>
      </c>
      <c r="J8" s="11" t="str">
        <f t="shared" si="0"/>
        <v/>
      </c>
      <c r="K8" s="31"/>
      <c r="L8" s="32"/>
      <c r="M8" s="33"/>
      <c r="N8" s="2"/>
    </row>
    <row r="9" spans="1:14" ht="19" customHeight="1" x14ac:dyDescent="0.2">
      <c r="A9" s="12"/>
      <c r="B9" s="31"/>
      <c r="C9" s="33"/>
      <c r="D9" s="31"/>
      <c r="E9" s="32"/>
      <c r="F9" s="33"/>
      <c r="G9" s="14"/>
      <c r="H9" s="14"/>
      <c r="I9" s="5" t="str">
        <f>IFERROR(_xlfn.XLOOKUP(G9,'Job Codes'!$A$1:$A$43,'Job Codes'!$B$1:$B$43),"")</f>
        <v/>
      </c>
      <c r="J9" s="11" t="str">
        <f t="shared" si="0"/>
        <v/>
      </c>
      <c r="K9" s="31"/>
      <c r="L9" s="32"/>
      <c r="M9" s="33"/>
      <c r="N9" s="2"/>
    </row>
    <row r="10" spans="1:14" ht="19" customHeight="1" x14ac:dyDescent="0.2">
      <c r="A10" s="12"/>
      <c r="B10" s="31"/>
      <c r="C10" s="33"/>
      <c r="D10" s="31"/>
      <c r="E10" s="32"/>
      <c r="F10" s="33"/>
      <c r="G10" s="14"/>
      <c r="H10" s="14"/>
      <c r="I10" s="5" t="str">
        <f>IFERROR(_xlfn.XLOOKUP(G10,'Job Codes'!$A$1:$A$43,'Job Codes'!$B$1:$B$43),"")</f>
        <v/>
      </c>
      <c r="J10" s="11" t="str">
        <f t="shared" si="0"/>
        <v/>
      </c>
      <c r="K10" s="31"/>
      <c r="L10" s="32"/>
      <c r="M10" s="33"/>
      <c r="N10" s="2"/>
    </row>
    <row r="11" spans="1:14" ht="19" customHeight="1" x14ac:dyDescent="0.2">
      <c r="A11" s="12"/>
      <c r="B11" s="31"/>
      <c r="C11" s="33"/>
      <c r="D11" s="31"/>
      <c r="E11" s="32"/>
      <c r="F11" s="33"/>
      <c r="G11" s="14"/>
      <c r="H11" s="14"/>
      <c r="I11" s="5" t="str">
        <f>IFERROR(_xlfn.XLOOKUP(G11,'Job Codes'!$A$1:$A$43,'Job Codes'!$B$1:$B$43),"")</f>
        <v/>
      </c>
      <c r="J11" s="11" t="str">
        <f t="shared" si="0"/>
        <v/>
      </c>
      <c r="K11" s="31"/>
      <c r="L11" s="32"/>
      <c r="M11" s="33"/>
      <c r="N11" s="2"/>
    </row>
    <row r="12" spans="1:14" ht="19" customHeight="1" x14ac:dyDescent="0.2">
      <c r="A12" s="12"/>
      <c r="B12" s="31"/>
      <c r="C12" s="33"/>
      <c r="D12" s="31"/>
      <c r="E12" s="32"/>
      <c r="F12" s="33"/>
      <c r="G12" s="13"/>
      <c r="H12" s="14"/>
      <c r="I12" s="5" t="str">
        <f>IFERROR(_xlfn.XLOOKUP(G12,'Job Codes'!$A$1:$A$43,'Job Codes'!$B$1:$B$43),"")</f>
        <v/>
      </c>
      <c r="J12" s="11" t="str">
        <f t="shared" si="0"/>
        <v/>
      </c>
      <c r="K12" s="31"/>
      <c r="L12" s="32"/>
      <c r="M12" s="33"/>
      <c r="N12" s="2"/>
    </row>
    <row r="13" spans="1:14" ht="19" customHeight="1" x14ac:dyDescent="0.2">
      <c r="A13" s="12"/>
      <c r="B13" s="31"/>
      <c r="C13" s="33"/>
      <c r="D13" s="31"/>
      <c r="E13" s="32"/>
      <c r="F13" s="33"/>
      <c r="G13" s="14"/>
      <c r="H13" s="14"/>
      <c r="I13" s="5" t="str">
        <f>IFERROR(_xlfn.XLOOKUP(G13,'Job Codes'!$A$1:$A$43,'Job Codes'!$B$1:$B$43),"")</f>
        <v/>
      </c>
      <c r="J13" s="11" t="str">
        <f t="shared" si="0"/>
        <v/>
      </c>
      <c r="K13" s="31"/>
      <c r="L13" s="32"/>
      <c r="M13" s="33"/>
      <c r="N13" s="2"/>
    </row>
    <row r="14" spans="1:14" ht="19" customHeight="1" x14ac:dyDescent="0.2">
      <c r="A14" s="12"/>
      <c r="B14" s="31"/>
      <c r="C14" s="33"/>
      <c r="D14" s="31"/>
      <c r="E14" s="32"/>
      <c r="F14" s="33"/>
      <c r="G14" s="14"/>
      <c r="H14" s="14"/>
      <c r="I14" s="5" t="str">
        <f>IFERROR(_xlfn.XLOOKUP(G14,'Job Codes'!$A$1:$A$43,'Job Codes'!$B$1:$B$43),"")</f>
        <v/>
      </c>
      <c r="J14" s="11" t="str">
        <f t="shared" si="0"/>
        <v/>
      </c>
      <c r="K14" s="31"/>
      <c r="L14" s="32"/>
      <c r="M14" s="33"/>
      <c r="N14" s="2"/>
    </row>
    <row r="15" spans="1:14" ht="19" customHeight="1" x14ac:dyDescent="0.2">
      <c r="A15" s="12"/>
      <c r="B15" s="31"/>
      <c r="C15" s="33"/>
      <c r="D15" s="31"/>
      <c r="E15" s="32"/>
      <c r="F15" s="33"/>
      <c r="G15" s="14"/>
      <c r="H15" s="14"/>
      <c r="I15" s="5" t="str">
        <f>IFERROR(_xlfn.XLOOKUP(G15,'Job Codes'!$A$1:$A$43,'Job Codes'!$B$1:$B$43),"")</f>
        <v/>
      </c>
      <c r="J15" s="11" t="str">
        <f t="shared" si="0"/>
        <v/>
      </c>
      <c r="K15" s="31"/>
      <c r="L15" s="32"/>
      <c r="M15" s="33"/>
      <c r="N15" s="2"/>
    </row>
    <row r="16" spans="1:14" ht="19" customHeight="1" x14ac:dyDescent="0.2">
      <c r="A16" s="12"/>
      <c r="B16" s="31"/>
      <c r="C16" s="33"/>
      <c r="D16" s="31"/>
      <c r="E16" s="32"/>
      <c r="F16" s="33"/>
      <c r="G16" s="14"/>
      <c r="H16" s="14"/>
      <c r="I16" s="5" t="str">
        <f>IFERROR(_xlfn.XLOOKUP(G16,'Job Codes'!$A$1:$A$43,'Job Codes'!$B$1:$B$43),"")</f>
        <v/>
      </c>
      <c r="J16" s="11" t="str">
        <f t="shared" si="0"/>
        <v/>
      </c>
      <c r="K16" s="31"/>
      <c r="L16" s="32"/>
      <c r="M16" s="33"/>
      <c r="N16" s="2"/>
    </row>
    <row r="17" spans="1:14" ht="19" customHeight="1" x14ac:dyDescent="0.2">
      <c r="A17" s="12"/>
      <c r="B17" s="31"/>
      <c r="C17" s="33"/>
      <c r="D17" s="31"/>
      <c r="E17" s="32"/>
      <c r="F17" s="33"/>
      <c r="G17" s="14"/>
      <c r="H17" s="14"/>
      <c r="I17" s="5" t="str">
        <f>IFERROR(_xlfn.XLOOKUP(G17,'Job Codes'!$A$1:$A$43,'Job Codes'!$B$1:$B$43),"")</f>
        <v/>
      </c>
      <c r="J17" s="11" t="str">
        <f t="shared" si="0"/>
        <v/>
      </c>
      <c r="K17" s="31"/>
      <c r="L17" s="32"/>
      <c r="M17" s="33"/>
      <c r="N17" s="2"/>
    </row>
    <row r="18" spans="1:14" ht="19" customHeight="1" x14ac:dyDescent="0.2">
      <c r="A18" s="12"/>
      <c r="B18" s="31"/>
      <c r="C18" s="33"/>
      <c r="D18" s="31"/>
      <c r="E18" s="32"/>
      <c r="F18" s="33"/>
      <c r="G18" s="14"/>
      <c r="H18" s="14"/>
      <c r="I18" s="5" t="str">
        <f>IFERROR(_xlfn.XLOOKUP(G18,'Job Codes'!$A$1:$A$43,'Job Codes'!$B$1:$B$43),"")</f>
        <v/>
      </c>
      <c r="J18" s="11" t="str">
        <f t="shared" si="0"/>
        <v/>
      </c>
      <c r="K18" s="31"/>
      <c r="L18" s="32"/>
      <c r="M18" s="33"/>
      <c r="N18" s="2"/>
    </row>
    <row r="19" spans="1:14" ht="19" customHeight="1" x14ac:dyDescent="0.2">
      <c r="A19" s="12"/>
      <c r="B19" s="31"/>
      <c r="C19" s="33"/>
      <c r="D19" s="31"/>
      <c r="E19" s="32"/>
      <c r="F19" s="33"/>
      <c r="G19" s="14"/>
      <c r="H19" s="14"/>
      <c r="I19" s="5" t="str">
        <f>IFERROR(_xlfn.XLOOKUP(G19,'Job Codes'!$A$1:$A$43,'Job Codes'!$B$1:$B$43),"")</f>
        <v/>
      </c>
      <c r="J19" s="11" t="str">
        <f t="shared" si="0"/>
        <v/>
      </c>
      <c r="K19" s="31"/>
      <c r="L19" s="32"/>
      <c r="M19" s="33"/>
      <c r="N19" s="2"/>
    </row>
    <row r="20" spans="1:14" ht="19" customHeight="1" x14ac:dyDescent="0.2">
      <c r="A20" s="12"/>
      <c r="B20" s="31"/>
      <c r="C20" s="33"/>
      <c r="D20" s="31"/>
      <c r="E20" s="32"/>
      <c r="F20" s="33"/>
      <c r="G20" s="14"/>
      <c r="H20" s="14"/>
      <c r="I20" s="5" t="str">
        <f>IFERROR(_xlfn.XLOOKUP(G20,'Job Codes'!$A$1:$A$43,'Job Codes'!$B$1:$B$43),"")</f>
        <v/>
      </c>
      <c r="J20" s="11" t="str">
        <f t="shared" si="0"/>
        <v/>
      </c>
      <c r="K20" s="31"/>
      <c r="L20" s="32"/>
      <c r="M20" s="33"/>
      <c r="N20" s="2"/>
    </row>
    <row r="21" spans="1:14" ht="19" customHeight="1" x14ac:dyDescent="0.2">
      <c r="A21" s="12"/>
      <c r="B21" s="31"/>
      <c r="C21" s="33"/>
      <c r="D21" s="31"/>
      <c r="E21" s="32"/>
      <c r="F21" s="33"/>
      <c r="G21" s="14"/>
      <c r="H21" s="14"/>
      <c r="I21" s="5" t="str">
        <f>IFERROR(_xlfn.XLOOKUP(G21,'Job Codes'!$A$1:$A$43,'Job Codes'!$B$1:$B$43),"")</f>
        <v/>
      </c>
      <c r="J21" s="11" t="str">
        <f t="shared" si="0"/>
        <v/>
      </c>
      <c r="K21" s="31"/>
      <c r="L21" s="32"/>
      <c r="M21" s="33"/>
      <c r="N21" s="2"/>
    </row>
    <row r="22" spans="1:14" ht="19" customHeight="1" x14ac:dyDescent="0.2">
      <c r="A22" s="12"/>
      <c r="B22" s="31"/>
      <c r="C22" s="33"/>
      <c r="D22" s="31"/>
      <c r="E22" s="32"/>
      <c r="F22" s="33"/>
      <c r="G22" s="14"/>
      <c r="H22" s="14"/>
      <c r="I22" s="5" t="str">
        <f>IFERROR(_xlfn.XLOOKUP(G22,'Job Codes'!$A$1:$A$43,'Job Codes'!$B$1:$B$43),"")</f>
        <v/>
      </c>
      <c r="J22" s="11" t="str">
        <f t="shared" si="0"/>
        <v/>
      </c>
      <c r="K22" s="31"/>
      <c r="L22" s="32"/>
      <c r="M22" s="33"/>
      <c r="N22" s="2"/>
    </row>
    <row r="23" spans="1:14" ht="19" customHeight="1" x14ac:dyDescent="0.2">
      <c r="A23" s="12"/>
      <c r="B23" s="31"/>
      <c r="C23" s="33"/>
      <c r="D23" s="31"/>
      <c r="E23" s="32"/>
      <c r="F23" s="33"/>
      <c r="G23" s="14"/>
      <c r="H23" s="14"/>
      <c r="I23" s="5" t="str">
        <f>IFERROR(_xlfn.XLOOKUP(G23,'Job Codes'!$A$1:$A$43,'Job Codes'!$B$1:$B$43),"")</f>
        <v/>
      </c>
      <c r="J23" s="11" t="str">
        <f t="shared" si="0"/>
        <v/>
      </c>
      <c r="K23" s="31"/>
      <c r="L23" s="32"/>
      <c r="M23" s="33"/>
      <c r="N23" s="2"/>
    </row>
    <row r="24" spans="1:14" ht="25" customHeight="1" x14ac:dyDescent="0.2">
      <c r="I24" s="6" t="s">
        <v>52</v>
      </c>
      <c r="J24" s="5">
        <f>SUM(J4:J23)</f>
        <v>0</v>
      </c>
    </row>
    <row r="25" spans="1:14" ht="16" customHeight="1" x14ac:dyDescent="0.2">
      <c r="A25" s="4" t="s">
        <v>61</v>
      </c>
    </row>
    <row r="26" spans="1:14" ht="16" customHeight="1" x14ac:dyDescent="0.2">
      <c r="A26" s="4" t="s">
        <v>62</v>
      </c>
    </row>
    <row r="27" spans="1:14" ht="16" customHeight="1" thickBot="1" x14ac:dyDescent="0.25">
      <c r="A27" s="4" t="s">
        <v>63</v>
      </c>
      <c r="J27" s="15" t="s">
        <v>58</v>
      </c>
      <c r="K27" s="17"/>
      <c r="L27" s="16" t="s">
        <v>59</v>
      </c>
      <c r="M27" s="17"/>
      <c r="N27" t="s">
        <v>60</v>
      </c>
    </row>
    <row r="28" spans="1:14" ht="16" customHeight="1" x14ac:dyDescent="0.2">
      <c r="A28" s="4" t="s">
        <v>64</v>
      </c>
      <c r="J28" s="39" t="s">
        <v>70</v>
      </c>
      <c r="K28" s="40"/>
      <c r="L28" s="41"/>
      <c r="M28" s="41"/>
      <c r="N28" s="42"/>
    </row>
    <row r="29" spans="1:14" ht="16" customHeight="1" thickBot="1" x14ac:dyDescent="0.25">
      <c r="A29" s="4" t="s">
        <v>65</v>
      </c>
      <c r="J29" s="39"/>
      <c r="K29" s="43"/>
      <c r="L29" s="44"/>
      <c r="M29" s="44"/>
      <c r="N29" s="45"/>
    </row>
    <row r="30" spans="1:14" ht="16" customHeight="1" x14ac:dyDescent="0.2">
      <c r="A30" s="4" t="s">
        <v>66</v>
      </c>
    </row>
    <row r="31" spans="1:14" ht="16" customHeight="1" x14ac:dyDescent="0.2">
      <c r="A31" s="4" t="s">
        <v>67</v>
      </c>
    </row>
    <row r="32" spans="1:14" ht="16" customHeight="1" x14ac:dyDescent="0.2">
      <c r="A32" s="4" t="s">
        <v>68</v>
      </c>
    </row>
    <row r="33" spans="1:14" ht="16" customHeight="1" x14ac:dyDescent="0.2">
      <c r="A33" s="4" t="s">
        <v>69</v>
      </c>
    </row>
    <row r="34" spans="1:14" ht="16" customHeight="1" x14ac:dyDescent="0.2">
      <c r="A34" s="4" t="s">
        <v>72</v>
      </c>
    </row>
    <row r="35" spans="1:14" ht="23" customHeight="1" x14ac:dyDescent="0.25">
      <c r="A35" s="34" t="s">
        <v>71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</row>
  </sheetData>
  <mergeCells count="71">
    <mergeCell ref="B3:C3"/>
    <mergeCell ref="D3:F3"/>
    <mergeCell ref="K3:M3"/>
    <mergeCell ref="A1:C1"/>
    <mergeCell ref="D1:I2"/>
    <mergeCell ref="K1:N1"/>
    <mergeCell ref="B2:C2"/>
    <mergeCell ref="K2:N2"/>
    <mergeCell ref="B4:C4"/>
    <mergeCell ref="D4:F4"/>
    <mergeCell ref="K4:M4"/>
    <mergeCell ref="B5:C5"/>
    <mergeCell ref="D5:F5"/>
    <mergeCell ref="K5:M5"/>
    <mergeCell ref="B6:C6"/>
    <mergeCell ref="D6:F6"/>
    <mergeCell ref="K6:M6"/>
    <mergeCell ref="B7:C7"/>
    <mergeCell ref="D7:F7"/>
    <mergeCell ref="K7:M7"/>
    <mergeCell ref="B8:C8"/>
    <mergeCell ref="D8:F8"/>
    <mergeCell ref="K8:M8"/>
    <mergeCell ref="B9:C9"/>
    <mergeCell ref="D9:F9"/>
    <mergeCell ref="K9:M9"/>
    <mergeCell ref="B10:C10"/>
    <mergeCell ref="D10:F10"/>
    <mergeCell ref="K10:M10"/>
    <mergeCell ref="B11:C11"/>
    <mergeCell ref="D11:F11"/>
    <mergeCell ref="K11:M11"/>
    <mergeCell ref="B12:C12"/>
    <mergeCell ref="D12:F12"/>
    <mergeCell ref="K12:M12"/>
    <mergeCell ref="B13:C13"/>
    <mergeCell ref="D13:F13"/>
    <mergeCell ref="K13:M13"/>
    <mergeCell ref="B14:C14"/>
    <mergeCell ref="D14:F14"/>
    <mergeCell ref="K14:M14"/>
    <mergeCell ref="B15:C15"/>
    <mergeCell ref="D15:F15"/>
    <mergeCell ref="K15:M15"/>
    <mergeCell ref="B16:C16"/>
    <mergeCell ref="D16:F16"/>
    <mergeCell ref="K16:M16"/>
    <mergeCell ref="B17:C17"/>
    <mergeCell ref="D17:F17"/>
    <mergeCell ref="K17:M17"/>
    <mergeCell ref="B18:C18"/>
    <mergeCell ref="D18:F18"/>
    <mergeCell ref="K18:M18"/>
    <mergeCell ref="B19:C19"/>
    <mergeCell ref="D19:F19"/>
    <mergeCell ref="K19:M19"/>
    <mergeCell ref="B20:C20"/>
    <mergeCell ref="D20:F20"/>
    <mergeCell ref="K20:M20"/>
    <mergeCell ref="B21:C21"/>
    <mergeCell ref="D21:F21"/>
    <mergeCell ref="K21:M21"/>
    <mergeCell ref="J28:J29"/>
    <mergeCell ref="K28:N29"/>
    <mergeCell ref="A35:N35"/>
    <mergeCell ref="B22:C22"/>
    <mergeCell ref="D22:F22"/>
    <mergeCell ref="K22:M22"/>
    <mergeCell ref="B23:C23"/>
    <mergeCell ref="D23:F23"/>
    <mergeCell ref="K23:M23"/>
  </mergeCells>
  <printOptions horizontalCentered="1" verticalCentered="1"/>
  <pageMargins left="0.25" right="0.25" top="0.25" bottom="0.25" header="0.3" footer="0.3"/>
  <pageSetup orientation="landscape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r" error="Invalid input" promptTitle="Select Job Code" xr:uid="{380CC180-3659-FC43-B177-80B066381CB3}">
          <x14:formula1>
            <xm:f>'Job Codes'!$A$1:$A$43</xm:f>
          </x14:formula1>
          <xm:sqref>G4:G23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49145-04D3-084F-B0CF-48BD0177E95B}">
  <dimension ref="A1:N35"/>
  <sheetViews>
    <sheetView showGridLines="0" zoomScale="130" zoomScaleNormal="130" zoomScalePageLayoutView="130" workbookViewId="0">
      <selection activeCell="A4" sqref="A4"/>
    </sheetView>
  </sheetViews>
  <sheetFormatPr baseColWidth="10" defaultColWidth="0" defaultRowHeight="16" zeroHeight="1" x14ac:dyDescent="0.2"/>
  <cols>
    <col min="1" max="1" width="9.1640625" customWidth="1"/>
    <col min="2" max="3" width="10.5" customWidth="1"/>
    <col min="4" max="4" width="8.5" customWidth="1"/>
    <col min="5" max="5" width="9.5" customWidth="1"/>
    <col min="6" max="6" width="9.33203125" customWidth="1"/>
    <col min="7" max="7" width="10" customWidth="1"/>
    <col min="8" max="8" width="4.33203125" bestFit="1" customWidth="1"/>
    <col min="9" max="9" width="9.83203125" customWidth="1"/>
    <col min="10" max="10" width="10.6640625" customWidth="1"/>
    <col min="11" max="11" width="8" customWidth="1"/>
    <col min="12" max="12" width="7.5" customWidth="1"/>
    <col min="13" max="13" width="6.5" customWidth="1"/>
    <col min="14" max="14" width="7.6640625" customWidth="1"/>
    <col min="15" max="16384" width="10.83203125" hidden="1"/>
  </cols>
  <sheetData>
    <row r="1" spans="1:14" x14ac:dyDescent="0.2">
      <c r="A1" s="18" t="s">
        <v>53</v>
      </c>
      <c r="B1" s="19"/>
      <c r="C1" s="20"/>
      <c r="D1" s="24" t="s">
        <v>56</v>
      </c>
      <c r="E1" s="25"/>
      <c r="F1" s="25"/>
      <c r="G1" s="25"/>
      <c r="H1" s="25"/>
      <c r="I1" s="26"/>
      <c r="J1" s="9" t="s">
        <v>57</v>
      </c>
      <c r="K1" s="35"/>
      <c r="L1" s="35"/>
      <c r="M1" s="35"/>
      <c r="N1" s="36"/>
    </row>
    <row r="2" spans="1:14" ht="14" customHeight="1" thickBot="1" x14ac:dyDescent="0.25">
      <c r="A2" s="8" t="s">
        <v>54</v>
      </c>
      <c r="B2" s="21" t="s">
        <v>55</v>
      </c>
      <c r="C2" s="22"/>
      <c r="D2" s="27"/>
      <c r="E2" s="28"/>
      <c r="F2" s="28"/>
      <c r="G2" s="28"/>
      <c r="H2" s="28"/>
      <c r="I2" s="29"/>
      <c r="J2" s="10"/>
      <c r="K2" s="37"/>
      <c r="L2" s="37"/>
      <c r="M2" s="37"/>
      <c r="N2" s="38"/>
    </row>
    <row r="3" spans="1:14" s="3" customFormat="1" ht="14" x14ac:dyDescent="0.2">
      <c r="A3" s="7" t="s">
        <v>43</v>
      </c>
      <c r="B3" s="23" t="s">
        <v>44</v>
      </c>
      <c r="C3" s="23"/>
      <c r="D3" s="23" t="s">
        <v>45</v>
      </c>
      <c r="E3" s="23"/>
      <c r="F3" s="23"/>
      <c r="G3" s="7" t="s">
        <v>46</v>
      </c>
      <c r="H3" s="7" t="s">
        <v>47</v>
      </c>
      <c r="I3" s="7" t="s">
        <v>48</v>
      </c>
      <c r="J3" s="7" t="s">
        <v>49</v>
      </c>
      <c r="K3" s="23" t="s">
        <v>50</v>
      </c>
      <c r="L3" s="23"/>
      <c r="M3" s="23"/>
      <c r="N3" s="7" t="s">
        <v>51</v>
      </c>
    </row>
    <row r="4" spans="1:14" ht="19" customHeight="1" x14ac:dyDescent="0.2">
      <c r="A4" s="12"/>
      <c r="B4" s="30"/>
      <c r="C4" s="30"/>
      <c r="D4" s="30"/>
      <c r="E4" s="30"/>
      <c r="F4" s="30"/>
      <c r="G4" s="14"/>
      <c r="H4" s="14"/>
      <c r="I4" s="5" t="str">
        <f>IFERROR(_xlfn.XLOOKUP(G4,'Job Codes'!$A$1:$A$43,'Job Codes'!$B$1:$B$43),"")</f>
        <v/>
      </c>
      <c r="J4" s="11" t="str">
        <f>IFERROR(H4*I4,"")</f>
        <v/>
      </c>
      <c r="K4" s="30"/>
      <c r="L4" s="30"/>
      <c r="M4" s="30"/>
      <c r="N4" s="2"/>
    </row>
    <row r="5" spans="1:14" ht="19" customHeight="1" x14ac:dyDescent="0.2">
      <c r="A5" s="12"/>
      <c r="B5" s="31"/>
      <c r="C5" s="33"/>
      <c r="D5" s="31"/>
      <c r="E5" s="32"/>
      <c r="F5" s="33"/>
      <c r="G5" s="14"/>
      <c r="H5" s="14"/>
      <c r="I5" s="5" t="str">
        <f>IFERROR(_xlfn.XLOOKUP(G5,'Job Codes'!$A$1:$A$43,'Job Codes'!$B$1:$B$43),"")</f>
        <v/>
      </c>
      <c r="J5" s="11" t="str">
        <f t="shared" ref="J5:J23" si="0">IFERROR(H5*I5,"")</f>
        <v/>
      </c>
      <c r="K5" s="31"/>
      <c r="L5" s="32"/>
      <c r="M5" s="33"/>
      <c r="N5" s="2"/>
    </row>
    <row r="6" spans="1:14" ht="19" customHeight="1" x14ac:dyDescent="0.2">
      <c r="A6" s="12"/>
      <c r="B6" s="31"/>
      <c r="C6" s="33"/>
      <c r="D6" s="31"/>
      <c r="E6" s="32"/>
      <c r="F6" s="33"/>
      <c r="G6" s="14"/>
      <c r="H6" s="14"/>
      <c r="I6" s="5" t="str">
        <f>IFERROR(_xlfn.XLOOKUP(G6,'Job Codes'!$A$1:$A$43,'Job Codes'!$B$1:$B$43),"")</f>
        <v/>
      </c>
      <c r="J6" s="11" t="str">
        <f t="shared" si="0"/>
        <v/>
      </c>
      <c r="K6" s="31"/>
      <c r="L6" s="32"/>
      <c r="M6" s="33"/>
      <c r="N6" s="2"/>
    </row>
    <row r="7" spans="1:14" ht="19" customHeight="1" x14ac:dyDescent="0.2">
      <c r="A7" s="12"/>
      <c r="B7" s="31"/>
      <c r="C7" s="33"/>
      <c r="D7" s="31"/>
      <c r="E7" s="32"/>
      <c r="F7" s="33"/>
      <c r="G7" s="14"/>
      <c r="H7" s="14"/>
      <c r="I7" s="5" t="str">
        <f>IFERROR(_xlfn.XLOOKUP(G7,'Job Codes'!$A$1:$A$43,'Job Codes'!$B$1:$B$43),"")</f>
        <v/>
      </c>
      <c r="J7" s="11" t="str">
        <f t="shared" si="0"/>
        <v/>
      </c>
      <c r="K7" s="31"/>
      <c r="L7" s="32"/>
      <c r="M7" s="33"/>
      <c r="N7" s="2"/>
    </row>
    <row r="8" spans="1:14" ht="19" customHeight="1" x14ac:dyDescent="0.2">
      <c r="A8" s="12"/>
      <c r="B8" s="31"/>
      <c r="C8" s="33"/>
      <c r="D8" s="31"/>
      <c r="E8" s="32"/>
      <c r="F8" s="33"/>
      <c r="G8" s="14"/>
      <c r="H8" s="14"/>
      <c r="I8" s="5" t="str">
        <f>IFERROR(_xlfn.XLOOKUP(G8,'Job Codes'!$A$1:$A$43,'Job Codes'!$B$1:$B$43),"")</f>
        <v/>
      </c>
      <c r="J8" s="11" t="str">
        <f t="shared" si="0"/>
        <v/>
      </c>
      <c r="K8" s="31"/>
      <c r="L8" s="32"/>
      <c r="M8" s="33"/>
      <c r="N8" s="2"/>
    </row>
    <row r="9" spans="1:14" ht="19" customHeight="1" x14ac:dyDescent="0.2">
      <c r="A9" s="12"/>
      <c r="B9" s="31"/>
      <c r="C9" s="33"/>
      <c r="D9" s="31"/>
      <c r="E9" s="32"/>
      <c r="F9" s="33"/>
      <c r="G9" s="14"/>
      <c r="H9" s="14"/>
      <c r="I9" s="5" t="str">
        <f>IFERROR(_xlfn.XLOOKUP(G9,'Job Codes'!$A$1:$A$43,'Job Codes'!$B$1:$B$43),"")</f>
        <v/>
      </c>
      <c r="J9" s="11" t="str">
        <f t="shared" si="0"/>
        <v/>
      </c>
      <c r="K9" s="31"/>
      <c r="L9" s="32"/>
      <c r="M9" s="33"/>
      <c r="N9" s="2"/>
    </row>
    <row r="10" spans="1:14" ht="19" customHeight="1" x14ac:dyDescent="0.2">
      <c r="A10" s="12"/>
      <c r="B10" s="31"/>
      <c r="C10" s="33"/>
      <c r="D10" s="31"/>
      <c r="E10" s="32"/>
      <c r="F10" s="33"/>
      <c r="G10" s="14"/>
      <c r="H10" s="14"/>
      <c r="I10" s="5" t="str">
        <f>IFERROR(_xlfn.XLOOKUP(G10,'Job Codes'!$A$1:$A$43,'Job Codes'!$B$1:$B$43),"")</f>
        <v/>
      </c>
      <c r="J10" s="11" t="str">
        <f t="shared" si="0"/>
        <v/>
      </c>
      <c r="K10" s="31"/>
      <c r="L10" s="32"/>
      <c r="M10" s="33"/>
      <c r="N10" s="2"/>
    </row>
    <row r="11" spans="1:14" ht="19" customHeight="1" x14ac:dyDescent="0.2">
      <c r="A11" s="12"/>
      <c r="B11" s="31"/>
      <c r="C11" s="33"/>
      <c r="D11" s="31"/>
      <c r="E11" s="32"/>
      <c r="F11" s="33"/>
      <c r="G11" s="14"/>
      <c r="H11" s="14"/>
      <c r="I11" s="5" t="str">
        <f>IFERROR(_xlfn.XLOOKUP(G11,'Job Codes'!$A$1:$A$43,'Job Codes'!$B$1:$B$43),"")</f>
        <v/>
      </c>
      <c r="J11" s="11" t="str">
        <f t="shared" si="0"/>
        <v/>
      </c>
      <c r="K11" s="31"/>
      <c r="L11" s="32"/>
      <c r="M11" s="33"/>
      <c r="N11" s="2"/>
    </row>
    <row r="12" spans="1:14" ht="19" customHeight="1" x14ac:dyDescent="0.2">
      <c r="A12" s="12"/>
      <c r="B12" s="31"/>
      <c r="C12" s="33"/>
      <c r="D12" s="31"/>
      <c r="E12" s="32"/>
      <c r="F12" s="33"/>
      <c r="G12" s="13"/>
      <c r="H12" s="14"/>
      <c r="I12" s="5" t="str">
        <f>IFERROR(_xlfn.XLOOKUP(G12,'Job Codes'!$A$1:$A$43,'Job Codes'!$B$1:$B$43),"")</f>
        <v/>
      </c>
      <c r="J12" s="11" t="str">
        <f t="shared" si="0"/>
        <v/>
      </c>
      <c r="K12" s="31"/>
      <c r="L12" s="32"/>
      <c r="M12" s="33"/>
      <c r="N12" s="2"/>
    </row>
    <row r="13" spans="1:14" ht="19" customHeight="1" x14ac:dyDescent="0.2">
      <c r="A13" s="12"/>
      <c r="B13" s="31"/>
      <c r="C13" s="33"/>
      <c r="D13" s="31"/>
      <c r="E13" s="32"/>
      <c r="F13" s="33"/>
      <c r="G13" s="14"/>
      <c r="H13" s="14"/>
      <c r="I13" s="5" t="str">
        <f>IFERROR(_xlfn.XLOOKUP(G13,'Job Codes'!$A$1:$A$43,'Job Codes'!$B$1:$B$43),"")</f>
        <v/>
      </c>
      <c r="J13" s="11" t="str">
        <f t="shared" si="0"/>
        <v/>
      </c>
      <c r="K13" s="31"/>
      <c r="L13" s="32"/>
      <c r="M13" s="33"/>
      <c r="N13" s="2"/>
    </row>
    <row r="14" spans="1:14" ht="19" customHeight="1" x14ac:dyDescent="0.2">
      <c r="A14" s="12"/>
      <c r="B14" s="31"/>
      <c r="C14" s="33"/>
      <c r="D14" s="31"/>
      <c r="E14" s="32"/>
      <c r="F14" s="33"/>
      <c r="G14" s="14"/>
      <c r="H14" s="14"/>
      <c r="I14" s="5" t="str">
        <f>IFERROR(_xlfn.XLOOKUP(G14,'Job Codes'!$A$1:$A$43,'Job Codes'!$B$1:$B$43),"")</f>
        <v/>
      </c>
      <c r="J14" s="11" t="str">
        <f t="shared" si="0"/>
        <v/>
      </c>
      <c r="K14" s="31"/>
      <c r="L14" s="32"/>
      <c r="M14" s="33"/>
      <c r="N14" s="2"/>
    </row>
    <row r="15" spans="1:14" ht="19" customHeight="1" x14ac:dyDescent="0.2">
      <c r="A15" s="12"/>
      <c r="B15" s="31"/>
      <c r="C15" s="33"/>
      <c r="D15" s="31"/>
      <c r="E15" s="32"/>
      <c r="F15" s="33"/>
      <c r="G15" s="14"/>
      <c r="H15" s="14"/>
      <c r="I15" s="5" t="str">
        <f>IFERROR(_xlfn.XLOOKUP(G15,'Job Codes'!$A$1:$A$43,'Job Codes'!$B$1:$B$43),"")</f>
        <v/>
      </c>
      <c r="J15" s="11" t="str">
        <f t="shared" si="0"/>
        <v/>
      </c>
      <c r="K15" s="31"/>
      <c r="L15" s="32"/>
      <c r="M15" s="33"/>
      <c r="N15" s="2"/>
    </row>
    <row r="16" spans="1:14" ht="19" customHeight="1" x14ac:dyDescent="0.2">
      <c r="A16" s="12"/>
      <c r="B16" s="31"/>
      <c r="C16" s="33"/>
      <c r="D16" s="31"/>
      <c r="E16" s="32"/>
      <c r="F16" s="33"/>
      <c r="G16" s="14"/>
      <c r="H16" s="14"/>
      <c r="I16" s="5" t="str">
        <f>IFERROR(_xlfn.XLOOKUP(G16,'Job Codes'!$A$1:$A$43,'Job Codes'!$B$1:$B$43),"")</f>
        <v/>
      </c>
      <c r="J16" s="11" t="str">
        <f t="shared" si="0"/>
        <v/>
      </c>
      <c r="K16" s="31"/>
      <c r="L16" s="32"/>
      <c r="M16" s="33"/>
      <c r="N16" s="2"/>
    </row>
    <row r="17" spans="1:14" ht="19" customHeight="1" x14ac:dyDescent="0.2">
      <c r="A17" s="12"/>
      <c r="B17" s="31"/>
      <c r="C17" s="33"/>
      <c r="D17" s="31"/>
      <c r="E17" s="32"/>
      <c r="F17" s="33"/>
      <c r="G17" s="14"/>
      <c r="H17" s="14"/>
      <c r="I17" s="5" t="str">
        <f>IFERROR(_xlfn.XLOOKUP(G17,'Job Codes'!$A$1:$A$43,'Job Codes'!$B$1:$B$43),"")</f>
        <v/>
      </c>
      <c r="J17" s="11" t="str">
        <f t="shared" si="0"/>
        <v/>
      </c>
      <c r="K17" s="31"/>
      <c r="L17" s="32"/>
      <c r="M17" s="33"/>
      <c r="N17" s="2"/>
    </row>
    <row r="18" spans="1:14" ht="19" customHeight="1" x14ac:dyDescent="0.2">
      <c r="A18" s="12"/>
      <c r="B18" s="31"/>
      <c r="C18" s="33"/>
      <c r="D18" s="31"/>
      <c r="E18" s="32"/>
      <c r="F18" s="33"/>
      <c r="G18" s="14"/>
      <c r="H18" s="14"/>
      <c r="I18" s="5" t="str">
        <f>IFERROR(_xlfn.XLOOKUP(G18,'Job Codes'!$A$1:$A$43,'Job Codes'!$B$1:$B$43),"")</f>
        <v/>
      </c>
      <c r="J18" s="11" t="str">
        <f t="shared" si="0"/>
        <v/>
      </c>
      <c r="K18" s="31"/>
      <c r="L18" s="32"/>
      <c r="M18" s="33"/>
      <c r="N18" s="2"/>
    </row>
    <row r="19" spans="1:14" ht="19" customHeight="1" x14ac:dyDescent="0.2">
      <c r="A19" s="12"/>
      <c r="B19" s="31"/>
      <c r="C19" s="33"/>
      <c r="D19" s="31"/>
      <c r="E19" s="32"/>
      <c r="F19" s="33"/>
      <c r="G19" s="14"/>
      <c r="H19" s="14"/>
      <c r="I19" s="5" t="str">
        <f>IFERROR(_xlfn.XLOOKUP(G19,'Job Codes'!$A$1:$A$43,'Job Codes'!$B$1:$B$43),"")</f>
        <v/>
      </c>
      <c r="J19" s="11" t="str">
        <f t="shared" si="0"/>
        <v/>
      </c>
      <c r="K19" s="31"/>
      <c r="L19" s="32"/>
      <c r="M19" s="33"/>
      <c r="N19" s="2"/>
    </row>
    <row r="20" spans="1:14" ht="19" customHeight="1" x14ac:dyDescent="0.2">
      <c r="A20" s="12"/>
      <c r="B20" s="31"/>
      <c r="C20" s="33"/>
      <c r="D20" s="31"/>
      <c r="E20" s="32"/>
      <c r="F20" s="33"/>
      <c r="G20" s="14"/>
      <c r="H20" s="14"/>
      <c r="I20" s="5" t="str">
        <f>IFERROR(_xlfn.XLOOKUP(G20,'Job Codes'!$A$1:$A$43,'Job Codes'!$B$1:$B$43),"")</f>
        <v/>
      </c>
      <c r="J20" s="11" t="str">
        <f t="shared" si="0"/>
        <v/>
      </c>
      <c r="K20" s="31"/>
      <c r="L20" s="32"/>
      <c r="M20" s="33"/>
      <c r="N20" s="2"/>
    </row>
    <row r="21" spans="1:14" ht="19" customHeight="1" x14ac:dyDescent="0.2">
      <c r="A21" s="12"/>
      <c r="B21" s="31"/>
      <c r="C21" s="33"/>
      <c r="D21" s="31"/>
      <c r="E21" s="32"/>
      <c r="F21" s="33"/>
      <c r="G21" s="14"/>
      <c r="H21" s="14"/>
      <c r="I21" s="5" t="str">
        <f>IFERROR(_xlfn.XLOOKUP(G21,'Job Codes'!$A$1:$A$43,'Job Codes'!$B$1:$B$43),"")</f>
        <v/>
      </c>
      <c r="J21" s="11" t="str">
        <f t="shared" si="0"/>
        <v/>
      </c>
      <c r="K21" s="31"/>
      <c r="L21" s="32"/>
      <c r="M21" s="33"/>
      <c r="N21" s="2"/>
    </row>
    <row r="22" spans="1:14" ht="19" customHeight="1" x14ac:dyDescent="0.2">
      <c r="A22" s="12"/>
      <c r="B22" s="31"/>
      <c r="C22" s="33"/>
      <c r="D22" s="31"/>
      <c r="E22" s="32"/>
      <c r="F22" s="33"/>
      <c r="G22" s="14"/>
      <c r="H22" s="14"/>
      <c r="I22" s="5" t="str">
        <f>IFERROR(_xlfn.XLOOKUP(G22,'Job Codes'!$A$1:$A$43,'Job Codes'!$B$1:$B$43),"")</f>
        <v/>
      </c>
      <c r="J22" s="11" t="str">
        <f t="shared" si="0"/>
        <v/>
      </c>
      <c r="K22" s="31"/>
      <c r="L22" s="32"/>
      <c r="M22" s="33"/>
      <c r="N22" s="2"/>
    </row>
    <row r="23" spans="1:14" ht="19" customHeight="1" x14ac:dyDescent="0.2">
      <c r="A23" s="12"/>
      <c r="B23" s="31"/>
      <c r="C23" s="33"/>
      <c r="D23" s="31"/>
      <c r="E23" s="32"/>
      <c r="F23" s="33"/>
      <c r="G23" s="14"/>
      <c r="H23" s="14"/>
      <c r="I23" s="5" t="str">
        <f>IFERROR(_xlfn.XLOOKUP(G23,'Job Codes'!$A$1:$A$43,'Job Codes'!$B$1:$B$43),"")</f>
        <v/>
      </c>
      <c r="J23" s="11" t="str">
        <f t="shared" si="0"/>
        <v/>
      </c>
      <c r="K23" s="31"/>
      <c r="L23" s="32"/>
      <c r="M23" s="33"/>
      <c r="N23" s="2"/>
    </row>
    <row r="24" spans="1:14" ht="25" customHeight="1" x14ac:dyDescent="0.2">
      <c r="I24" s="6" t="s">
        <v>52</v>
      </c>
      <c r="J24" s="5">
        <f>SUM(J4:J23)</f>
        <v>0</v>
      </c>
    </row>
    <row r="25" spans="1:14" ht="16" customHeight="1" x14ac:dyDescent="0.2">
      <c r="A25" s="4" t="s">
        <v>61</v>
      </c>
    </row>
    <row r="26" spans="1:14" ht="16" customHeight="1" x14ac:dyDescent="0.2">
      <c r="A26" s="4" t="s">
        <v>62</v>
      </c>
    </row>
    <row r="27" spans="1:14" ht="16" customHeight="1" thickBot="1" x14ac:dyDescent="0.25">
      <c r="A27" s="4" t="s">
        <v>63</v>
      </c>
      <c r="J27" s="15" t="s">
        <v>58</v>
      </c>
      <c r="K27" s="17"/>
      <c r="L27" s="16" t="s">
        <v>59</v>
      </c>
      <c r="M27" s="17"/>
      <c r="N27" t="s">
        <v>60</v>
      </c>
    </row>
    <row r="28" spans="1:14" ht="16" customHeight="1" x14ac:dyDescent="0.2">
      <c r="A28" s="4" t="s">
        <v>64</v>
      </c>
      <c r="J28" s="39" t="s">
        <v>70</v>
      </c>
      <c r="K28" s="40"/>
      <c r="L28" s="41"/>
      <c r="M28" s="41"/>
      <c r="N28" s="42"/>
    </row>
    <row r="29" spans="1:14" ht="16" customHeight="1" thickBot="1" x14ac:dyDescent="0.25">
      <c r="A29" s="4" t="s">
        <v>65</v>
      </c>
      <c r="J29" s="39"/>
      <c r="K29" s="43"/>
      <c r="L29" s="44"/>
      <c r="M29" s="44"/>
      <c r="N29" s="45"/>
    </row>
    <row r="30" spans="1:14" ht="16" customHeight="1" x14ac:dyDescent="0.2">
      <c r="A30" s="4" t="s">
        <v>66</v>
      </c>
    </row>
    <row r="31" spans="1:14" ht="16" customHeight="1" x14ac:dyDescent="0.2">
      <c r="A31" s="4" t="s">
        <v>67</v>
      </c>
    </row>
    <row r="32" spans="1:14" ht="16" customHeight="1" x14ac:dyDescent="0.2">
      <c r="A32" s="4" t="s">
        <v>68</v>
      </c>
    </row>
    <row r="33" spans="1:14" ht="16" customHeight="1" x14ac:dyDescent="0.2">
      <c r="A33" s="4" t="s">
        <v>69</v>
      </c>
    </row>
    <row r="34" spans="1:14" ht="16" customHeight="1" x14ac:dyDescent="0.2">
      <c r="A34" s="4" t="s">
        <v>72</v>
      </c>
    </row>
    <row r="35" spans="1:14" ht="23" customHeight="1" x14ac:dyDescent="0.25">
      <c r="A35" s="34" t="s">
        <v>71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</row>
  </sheetData>
  <mergeCells count="71">
    <mergeCell ref="B3:C3"/>
    <mergeCell ref="D3:F3"/>
    <mergeCell ref="K3:M3"/>
    <mergeCell ref="A1:C1"/>
    <mergeCell ref="D1:I2"/>
    <mergeCell ref="K1:N1"/>
    <mergeCell ref="B2:C2"/>
    <mergeCell ref="K2:N2"/>
    <mergeCell ref="B4:C4"/>
    <mergeCell ref="D4:F4"/>
    <mergeCell ref="K4:M4"/>
    <mergeCell ref="B5:C5"/>
    <mergeCell ref="D5:F5"/>
    <mergeCell ref="K5:M5"/>
    <mergeCell ref="B6:C6"/>
    <mergeCell ref="D6:F6"/>
    <mergeCell ref="K6:M6"/>
    <mergeCell ref="B7:C7"/>
    <mergeCell ref="D7:F7"/>
    <mergeCell ref="K7:M7"/>
    <mergeCell ref="B8:C8"/>
    <mergeCell ref="D8:F8"/>
    <mergeCell ref="K8:M8"/>
    <mergeCell ref="B9:C9"/>
    <mergeCell ref="D9:F9"/>
    <mergeCell ref="K9:M9"/>
    <mergeCell ref="B10:C10"/>
    <mergeCell ref="D10:F10"/>
    <mergeCell ref="K10:M10"/>
    <mergeCell ref="B11:C11"/>
    <mergeCell ref="D11:F11"/>
    <mergeCell ref="K11:M11"/>
    <mergeCell ref="B12:C12"/>
    <mergeCell ref="D12:F12"/>
    <mergeCell ref="K12:M12"/>
    <mergeCell ref="B13:C13"/>
    <mergeCell ref="D13:F13"/>
    <mergeCell ref="K13:M13"/>
    <mergeCell ref="B14:C14"/>
    <mergeCell ref="D14:F14"/>
    <mergeCell ref="K14:M14"/>
    <mergeCell ref="B15:C15"/>
    <mergeCell ref="D15:F15"/>
    <mergeCell ref="K15:M15"/>
    <mergeCell ref="B16:C16"/>
    <mergeCell ref="D16:F16"/>
    <mergeCell ref="K16:M16"/>
    <mergeCell ref="B17:C17"/>
    <mergeCell ref="D17:F17"/>
    <mergeCell ref="K17:M17"/>
    <mergeCell ref="B18:C18"/>
    <mergeCell ref="D18:F18"/>
    <mergeCell ref="K18:M18"/>
    <mergeCell ref="B19:C19"/>
    <mergeCell ref="D19:F19"/>
    <mergeCell ref="K19:M19"/>
    <mergeCell ref="B20:C20"/>
    <mergeCell ref="D20:F20"/>
    <mergeCell ref="K20:M20"/>
    <mergeCell ref="B21:C21"/>
    <mergeCell ref="D21:F21"/>
    <mergeCell ref="K21:M21"/>
    <mergeCell ref="J28:J29"/>
    <mergeCell ref="K28:N29"/>
    <mergeCell ref="A35:N35"/>
    <mergeCell ref="B22:C22"/>
    <mergeCell ref="D22:F22"/>
    <mergeCell ref="K22:M22"/>
    <mergeCell ref="B23:C23"/>
    <mergeCell ref="D23:F23"/>
    <mergeCell ref="K23:M23"/>
  </mergeCells>
  <printOptions horizontalCentered="1" verticalCentered="1"/>
  <pageMargins left="0.25" right="0.25" top="0.25" bottom="0.25" header="0.3" footer="0.3"/>
  <pageSetup orientation="landscape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r" error="Invalid input" promptTitle="Select Job Code" xr:uid="{F171DB67-8568-EB4D-8ACF-A14E0ED1B63E}">
          <x14:formula1>
            <xm:f>'Job Codes'!$A$1:$A$43</xm:f>
          </x14:formula1>
          <xm:sqref>G4:G23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170AF-DB90-2341-BD97-BABF2489862E}">
  <dimension ref="A1:N35"/>
  <sheetViews>
    <sheetView showGridLines="0" zoomScale="130" zoomScaleNormal="130" zoomScalePageLayoutView="130" workbookViewId="0">
      <selection activeCell="A4" sqref="A4"/>
    </sheetView>
  </sheetViews>
  <sheetFormatPr baseColWidth="10" defaultColWidth="0" defaultRowHeight="16" zeroHeight="1" x14ac:dyDescent="0.2"/>
  <cols>
    <col min="1" max="1" width="9.1640625" customWidth="1"/>
    <col min="2" max="3" width="10.5" customWidth="1"/>
    <col min="4" max="4" width="8.5" customWidth="1"/>
    <col min="5" max="5" width="9.5" customWidth="1"/>
    <col min="6" max="6" width="9.33203125" customWidth="1"/>
    <col min="7" max="7" width="10" customWidth="1"/>
    <col min="8" max="8" width="4.33203125" bestFit="1" customWidth="1"/>
    <col min="9" max="9" width="9.83203125" customWidth="1"/>
    <col min="10" max="10" width="10.6640625" customWidth="1"/>
    <col min="11" max="11" width="8" customWidth="1"/>
    <col min="12" max="12" width="7.5" customWidth="1"/>
    <col min="13" max="13" width="6.5" customWidth="1"/>
    <col min="14" max="14" width="7.6640625" customWidth="1"/>
    <col min="15" max="16384" width="10.83203125" hidden="1"/>
  </cols>
  <sheetData>
    <row r="1" spans="1:14" x14ac:dyDescent="0.2">
      <c r="A1" s="18" t="s">
        <v>53</v>
      </c>
      <c r="B1" s="19"/>
      <c r="C1" s="20"/>
      <c r="D1" s="24" t="s">
        <v>56</v>
      </c>
      <c r="E1" s="25"/>
      <c r="F1" s="25"/>
      <c r="G1" s="25"/>
      <c r="H1" s="25"/>
      <c r="I1" s="26"/>
      <c r="J1" s="9" t="s">
        <v>57</v>
      </c>
      <c r="K1" s="35"/>
      <c r="L1" s="35"/>
      <c r="M1" s="35"/>
      <c r="N1" s="36"/>
    </row>
    <row r="2" spans="1:14" ht="14" customHeight="1" thickBot="1" x14ac:dyDescent="0.25">
      <c r="A2" s="8" t="s">
        <v>54</v>
      </c>
      <c r="B2" s="21" t="s">
        <v>55</v>
      </c>
      <c r="C2" s="22"/>
      <c r="D2" s="27"/>
      <c r="E2" s="28"/>
      <c r="F2" s="28"/>
      <c r="G2" s="28"/>
      <c r="H2" s="28"/>
      <c r="I2" s="29"/>
      <c r="J2" s="10"/>
      <c r="K2" s="37"/>
      <c r="L2" s="37"/>
      <c r="M2" s="37"/>
      <c r="N2" s="38"/>
    </row>
    <row r="3" spans="1:14" s="3" customFormat="1" ht="14" x14ac:dyDescent="0.2">
      <c r="A3" s="7" t="s">
        <v>43</v>
      </c>
      <c r="B3" s="23" t="s">
        <v>44</v>
      </c>
      <c r="C3" s="23"/>
      <c r="D3" s="23" t="s">
        <v>45</v>
      </c>
      <c r="E3" s="23"/>
      <c r="F3" s="23"/>
      <c r="G3" s="7" t="s">
        <v>46</v>
      </c>
      <c r="H3" s="7" t="s">
        <v>47</v>
      </c>
      <c r="I3" s="7" t="s">
        <v>48</v>
      </c>
      <c r="J3" s="7" t="s">
        <v>49</v>
      </c>
      <c r="K3" s="23" t="s">
        <v>50</v>
      </c>
      <c r="L3" s="23"/>
      <c r="M3" s="23"/>
      <c r="N3" s="7" t="s">
        <v>51</v>
      </c>
    </row>
    <row r="4" spans="1:14" ht="19" customHeight="1" x14ac:dyDescent="0.2">
      <c r="A4" s="12"/>
      <c r="B4" s="30"/>
      <c r="C4" s="30"/>
      <c r="D4" s="30"/>
      <c r="E4" s="30"/>
      <c r="F4" s="30"/>
      <c r="G4" s="14"/>
      <c r="H4" s="14"/>
      <c r="I4" s="5" t="str">
        <f>IFERROR(_xlfn.XLOOKUP(G4,'Job Codes'!$A$1:$A$43,'Job Codes'!$B$1:$B$43),"")</f>
        <v/>
      </c>
      <c r="J4" s="11" t="str">
        <f>IFERROR(H4*I4,"")</f>
        <v/>
      </c>
      <c r="K4" s="30"/>
      <c r="L4" s="30"/>
      <c r="M4" s="30"/>
      <c r="N4" s="2"/>
    </row>
    <row r="5" spans="1:14" ht="19" customHeight="1" x14ac:dyDescent="0.2">
      <c r="A5" s="12"/>
      <c r="B5" s="31"/>
      <c r="C5" s="33"/>
      <c r="D5" s="31"/>
      <c r="E5" s="32"/>
      <c r="F5" s="33"/>
      <c r="G5" s="14"/>
      <c r="H5" s="14"/>
      <c r="I5" s="5" t="str">
        <f>IFERROR(_xlfn.XLOOKUP(G5,'Job Codes'!$A$1:$A$43,'Job Codes'!$B$1:$B$43),"")</f>
        <v/>
      </c>
      <c r="J5" s="11" t="str">
        <f t="shared" ref="J5:J23" si="0">IFERROR(H5*I5,"")</f>
        <v/>
      </c>
      <c r="K5" s="31"/>
      <c r="L5" s="32"/>
      <c r="M5" s="33"/>
      <c r="N5" s="2"/>
    </row>
    <row r="6" spans="1:14" ht="19" customHeight="1" x14ac:dyDescent="0.2">
      <c r="A6" s="12"/>
      <c r="B6" s="31"/>
      <c r="C6" s="33"/>
      <c r="D6" s="31"/>
      <c r="E6" s="32"/>
      <c r="F6" s="33"/>
      <c r="G6" s="14"/>
      <c r="H6" s="14"/>
      <c r="I6" s="5" t="str">
        <f>IFERROR(_xlfn.XLOOKUP(G6,'Job Codes'!$A$1:$A$43,'Job Codes'!$B$1:$B$43),"")</f>
        <v/>
      </c>
      <c r="J6" s="11" t="str">
        <f t="shared" si="0"/>
        <v/>
      </c>
      <c r="K6" s="31"/>
      <c r="L6" s="32"/>
      <c r="M6" s="33"/>
      <c r="N6" s="2"/>
    </row>
    <row r="7" spans="1:14" ht="19" customHeight="1" x14ac:dyDescent="0.2">
      <c r="A7" s="12"/>
      <c r="B7" s="31"/>
      <c r="C7" s="33"/>
      <c r="D7" s="31"/>
      <c r="E7" s="32"/>
      <c r="F7" s="33"/>
      <c r="G7" s="14"/>
      <c r="H7" s="14"/>
      <c r="I7" s="5" t="str">
        <f>IFERROR(_xlfn.XLOOKUP(G7,'Job Codes'!$A$1:$A$43,'Job Codes'!$B$1:$B$43),"")</f>
        <v/>
      </c>
      <c r="J7" s="11" t="str">
        <f t="shared" si="0"/>
        <v/>
      </c>
      <c r="K7" s="31"/>
      <c r="L7" s="32"/>
      <c r="M7" s="33"/>
      <c r="N7" s="2"/>
    </row>
    <row r="8" spans="1:14" ht="19" customHeight="1" x14ac:dyDescent="0.2">
      <c r="A8" s="12"/>
      <c r="B8" s="31"/>
      <c r="C8" s="33"/>
      <c r="D8" s="31"/>
      <c r="E8" s="32"/>
      <c r="F8" s="33"/>
      <c r="G8" s="14"/>
      <c r="H8" s="14"/>
      <c r="I8" s="5" t="str">
        <f>IFERROR(_xlfn.XLOOKUP(G8,'Job Codes'!$A$1:$A$43,'Job Codes'!$B$1:$B$43),"")</f>
        <v/>
      </c>
      <c r="J8" s="11" t="str">
        <f t="shared" si="0"/>
        <v/>
      </c>
      <c r="K8" s="31"/>
      <c r="L8" s="32"/>
      <c r="M8" s="33"/>
      <c r="N8" s="2"/>
    </row>
    <row r="9" spans="1:14" ht="19" customHeight="1" x14ac:dyDescent="0.2">
      <c r="A9" s="12"/>
      <c r="B9" s="31"/>
      <c r="C9" s="33"/>
      <c r="D9" s="31"/>
      <c r="E9" s="32"/>
      <c r="F9" s="33"/>
      <c r="G9" s="14"/>
      <c r="H9" s="14"/>
      <c r="I9" s="5" t="str">
        <f>IFERROR(_xlfn.XLOOKUP(G9,'Job Codes'!$A$1:$A$43,'Job Codes'!$B$1:$B$43),"")</f>
        <v/>
      </c>
      <c r="J9" s="11" t="str">
        <f t="shared" si="0"/>
        <v/>
      </c>
      <c r="K9" s="31"/>
      <c r="L9" s="32"/>
      <c r="M9" s="33"/>
      <c r="N9" s="2"/>
    </row>
    <row r="10" spans="1:14" ht="19" customHeight="1" x14ac:dyDescent="0.2">
      <c r="A10" s="12"/>
      <c r="B10" s="31"/>
      <c r="C10" s="33"/>
      <c r="D10" s="31"/>
      <c r="E10" s="32"/>
      <c r="F10" s="33"/>
      <c r="G10" s="14"/>
      <c r="H10" s="14"/>
      <c r="I10" s="5" t="str">
        <f>IFERROR(_xlfn.XLOOKUP(G10,'Job Codes'!$A$1:$A$43,'Job Codes'!$B$1:$B$43),"")</f>
        <v/>
      </c>
      <c r="J10" s="11" t="str">
        <f t="shared" si="0"/>
        <v/>
      </c>
      <c r="K10" s="31"/>
      <c r="L10" s="32"/>
      <c r="M10" s="33"/>
      <c r="N10" s="2"/>
    </row>
    <row r="11" spans="1:14" ht="19" customHeight="1" x14ac:dyDescent="0.2">
      <c r="A11" s="12"/>
      <c r="B11" s="31"/>
      <c r="C11" s="33"/>
      <c r="D11" s="31"/>
      <c r="E11" s="32"/>
      <c r="F11" s="33"/>
      <c r="G11" s="14"/>
      <c r="H11" s="14"/>
      <c r="I11" s="5" t="str">
        <f>IFERROR(_xlfn.XLOOKUP(G11,'Job Codes'!$A$1:$A$43,'Job Codes'!$B$1:$B$43),"")</f>
        <v/>
      </c>
      <c r="J11" s="11" t="str">
        <f t="shared" si="0"/>
        <v/>
      </c>
      <c r="K11" s="31"/>
      <c r="L11" s="32"/>
      <c r="M11" s="33"/>
      <c r="N11" s="2"/>
    </row>
    <row r="12" spans="1:14" ht="19" customHeight="1" x14ac:dyDescent="0.2">
      <c r="A12" s="12"/>
      <c r="B12" s="31"/>
      <c r="C12" s="33"/>
      <c r="D12" s="31"/>
      <c r="E12" s="32"/>
      <c r="F12" s="33"/>
      <c r="G12" s="13"/>
      <c r="H12" s="14"/>
      <c r="I12" s="5" t="str">
        <f>IFERROR(_xlfn.XLOOKUP(G12,'Job Codes'!$A$1:$A$43,'Job Codes'!$B$1:$B$43),"")</f>
        <v/>
      </c>
      <c r="J12" s="11" t="str">
        <f t="shared" si="0"/>
        <v/>
      </c>
      <c r="K12" s="31"/>
      <c r="L12" s="32"/>
      <c r="M12" s="33"/>
      <c r="N12" s="2"/>
    </row>
    <row r="13" spans="1:14" ht="19" customHeight="1" x14ac:dyDescent="0.2">
      <c r="A13" s="12"/>
      <c r="B13" s="31"/>
      <c r="C13" s="33"/>
      <c r="D13" s="31"/>
      <c r="E13" s="32"/>
      <c r="F13" s="33"/>
      <c r="G13" s="14"/>
      <c r="H13" s="14"/>
      <c r="I13" s="5" t="str">
        <f>IFERROR(_xlfn.XLOOKUP(G13,'Job Codes'!$A$1:$A$43,'Job Codes'!$B$1:$B$43),"")</f>
        <v/>
      </c>
      <c r="J13" s="11" t="str">
        <f t="shared" si="0"/>
        <v/>
      </c>
      <c r="K13" s="31"/>
      <c r="L13" s="32"/>
      <c r="M13" s="33"/>
      <c r="N13" s="2"/>
    </row>
    <row r="14" spans="1:14" ht="19" customHeight="1" x14ac:dyDescent="0.2">
      <c r="A14" s="12"/>
      <c r="B14" s="31"/>
      <c r="C14" s="33"/>
      <c r="D14" s="31"/>
      <c r="E14" s="32"/>
      <c r="F14" s="33"/>
      <c r="G14" s="14"/>
      <c r="H14" s="14"/>
      <c r="I14" s="5" t="str">
        <f>IFERROR(_xlfn.XLOOKUP(G14,'Job Codes'!$A$1:$A$43,'Job Codes'!$B$1:$B$43),"")</f>
        <v/>
      </c>
      <c r="J14" s="11" t="str">
        <f t="shared" si="0"/>
        <v/>
      </c>
      <c r="K14" s="31"/>
      <c r="L14" s="32"/>
      <c r="M14" s="33"/>
      <c r="N14" s="2"/>
    </row>
    <row r="15" spans="1:14" ht="19" customHeight="1" x14ac:dyDescent="0.2">
      <c r="A15" s="12"/>
      <c r="B15" s="31"/>
      <c r="C15" s="33"/>
      <c r="D15" s="31"/>
      <c r="E15" s="32"/>
      <c r="F15" s="33"/>
      <c r="G15" s="14"/>
      <c r="H15" s="14"/>
      <c r="I15" s="5" t="str">
        <f>IFERROR(_xlfn.XLOOKUP(G15,'Job Codes'!$A$1:$A$43,'Job Codes'!$B$1:$B$43),"")</f>
        <v/>
      </c>
      <c r="J15" s="11" t="str">
        <f t="shared" si="0"/>
        <v/>
      </c>
      <c r="K15" s="31"/>
      <c r="L15" s="32"/>
      <c r="M15" s="33"/>
      <c r="N15" s="2"/>
    </row>
    <row r="16" spans="1:14" ht="19" customHeight="1" x14ac:dyDescent="0.2">
      <c r="A16" s="12"/>
      <c r="B16" s="31"/>
      <c r="C16" s="33"/>
      <c r="D16" s="31"/>
      <c r="E16" s="32"/>
      <c r="F16" s="33"/>
      <c r="G16" s="14"/>
      <c r="H16" s="14"/>
      <c r="I16" s="5" t="str">
        <f>IFERROR(_xlfn.XLOOKUP(G16,'Job Codes'!$A$1:$A$43,'Job Codes'!$B$1:$B$43),"")</f>
        <v/>
      </c>
      <c r="J16" s="11" t="str">
        <f t="shared" si="0"/>
        <v/>
      </c>
      <c r="K16" s="31"/>
      <c r="L16" s="32"/>
      <c r="M16" s="33"/>
      <c r="N16" s="2"/>
    </row>
    <row r="17" spans="1:14" ht="19" customHeight="1" x14ac:dyDescent="0.2">
      <c r="A17" s="12"/>
      <c r="B17" s="31"/>
      <c r="C17" s="33"/>
      <c r="D17" s="31"/>
      <c r="E17" s="32"/>
      <c r="F17" s="33"/>
      <c r="G17" s="14"/>
      <c r="H17" s="14"/>
      <c r="I17" s="5" t="str">
        <f>IFERROR(_xlfn.XLOOKUP(G17,'Job Codes'!$A$1:$A$43,'Job Codes'!$B$1:$B$43),"")</f>
        <v/>
      </c>
      <c r="J17" s="11" t="str">
        <f t="shared" si="0"/>
        <v/>
      </c>
      <c r="K17" s="31"/>
      <c r="L17" s="32"/>
      <c r="M17" s="33"/>
      <c r="N17" s="2"/>
    </row>
    <row r="18" spans="1:14" ht="19" customHeight="1" x14ac:dyDescent="0.2">
      <c r="A18" s="12"/>
      <c r="B18" s="31"/>
      <c r="C18" s="33"/>
      <c r="D18" s="31"/>
      <c r="E18" s="32"/>
      <c r="F18" s="33"/>
      <c r="G18" s="14"/>
      <c r="H18" s="14"/>
      <c r="I18" s="5" t="str">
        <f>IFERROR(_xlfn.XLOOKUP(G18,'Job Codes'!$A$1:$A$43,'Job Codes'!$B$1:$B$43),"")</f>
        <v/>
      </c>
      <c r="J18" s="11" t="str">
        <f t="shared" si="0"/>
        <v/>
      </c>
      <c r="K18" s="31"/>
      <c r="L18" s="32"/>
      <c r="M18" s="33"/>
      <c r="N18" s="2"/>
    </row>
    <row r="19" spans="1:14" ht="19" customHeight="1" x14ac:dyDescent="0.2">
      <c r="A19" s="12"/>
      <c r="B19" s="31"/>
      <c r="C19" s="33"/>
      <c r="D19" s="31"/>
      <c r="E19" s="32"/>
      <c r="F19" s="33"/>
      <c r="G19" s="14"/>
      <c r="H19" s="14"/>
      <c r="I19" s="5" t="str">
        <f>IFERROR(_xlfn.XLOOKUP(G19,'Job Codes'!$A$1:$A$43,'Job Codes'!$B$1:$B$43),"")</f>
        <v/>
      </c>
      <c r="J19" s="11" t="str">
        <f t="shared" si="0"/>
        <v/>
      </c>
      <c r="K19" s="31"/>
      <c r="L19" s="32"/>
      <c r="M19" s="33"/>
      <c r="N19" s="2"/>
    </row>
    <row r="20" spans="1:14" ht="19" customHeight="1" x14ac:dyDescent="0.2">
      <c r="A20" s="12"/>
      <c r="B20" s="31"/>
      <c r="C20" s="33"/>
      <c r="D20" s="31"/>
      <c r="E20" s="32"/>
      <c r="F20" s="33"/>
      <c r="G20" s="14"/>
      <c r="H20" s="14"/>
      <c r="I20" s="5" t="str">
        <f>IFERROR(_xlfn.XLOOKUP(G20,'Job Codes'!$A$1:$A$43,'Job Codes'!$B$1:$B$43),"")</f>
        <v/>
      </c>
      <c r="J20" s="11" t="str">
        <f t="shared" si="0"/>
        <v/>
      </c>
      <c r="K20" s="31"/>
      <c r="L20" s="32"/>
      <c r="M20" s="33"/>
      <c r="N20" s="2"/>
    </row>
    <row r="21" spans="1:14" ht="19" customHeight="1" x14ac:dyDescent="0.2">
      <c r="A21" s="12"/>
      <c r="B21" s="31"/>
      <c r="C21" s="33"/>
      <c r="D21" s="31"/>
      <c r="E21" s="32"/>
      <c r="F21" s="33"/>
      <c r="G21" s="14"/>
      <c r="H21" s="14"/>
      <c r="I21" s="5" t="str">
        <f>IFERROR(_xlfn.XLOOKUP(G21,'Job Codes'!$A$1:$A$43,'Job Codes'!$B$1:$B$43),"")</f>
        <v/>
      </c>
      <c r="J21" s="11" t="str">
        <f t="shared" si="0"/>
        <v/>
      </c>
      <c r="K21" s="31"/>
      <c r="L21" s="32"/>
      <c r="M21" s="33"/>
      <c r="N21" s="2"/>
    </row>
    <row r="22" spans="1:14" ht="19" customHeight="1" x14ac:dyDescent="0.2">
      <c r="A22" s="12"/>
      <c r="B22" s="31"/>
      <c r="C22" s="33"/>
      <c r="D22" s="31"/>
      <c r="E22" s="32"/>
      <c r="F22" s="33"/>
      <c r="G22" s="14"/>
      <c r="H22" s="14"/>
      <c r="I22" s="5" t="str">
        <f>IFERROR(_xlfn.XLOOKUP(G22,'Job Codes'!$A$1:$A$43,'Job Codes'!$B$1:$B$43),"")</f>
        <v/>
      </c>
      <c r="J22" s="11" t="str">
        <f t="shared" si="0"/>
        <v/>
      </c>
      <c r="K22" s="31"/>
      <c r="L22" s="32"/>
      <c r="M22" s="33"/>
      <c r="N22" s="2"/>
    </row>
    <row r="23" spans="1:14" ht="19" customHeight="1" x14ac:dyDescent="0.2">
      <c r="A23" s="12"/>
      <c r="B23" s="31"/>
      <c r="C23" s="33"/>
      <c r="D23" s="31"/>
      <c r="E23" s="32"/>
      <c r="F23" s="33"/>
      <c r="G23" s="14"/>
      <c r="H23" s="14"/>
      <c r="I23" s="5" t="str">
        <f>IFERROR(_xlfn.XLOOKUP(G23,'Job Codes'!$A$1:$A$43,'Job Codes'!$B$1:$B$43),"")</f>
        <v/>
      </c>
      <c r="J23" s="11" t="str">
        <f t="shared" si="0"/>
        <v/>
      </c>
      <c r="K23" s="31"/>
      <c r="L23" s="32"/>
      <c r="M23" s="33"/>
      <c r="N23" s="2"/>
    </row>
    <row r="24" spans="1:14" ht="25" customHeight="1" x14ac:dyDescent="0.2">
      <c r="I24" s="6" t="s">
        <v>52</v>
      </c>
      <c r="J24" s="5">
        <f>SUM(J4:J23)</f>
        <v>0</v>
      </c>
    </row>
    <row r="25" spans="1:14" ht="16" customHeight="1" x14ac:dyDescent="0.2">
      <c r="A25" s="4" t="s">
        <v>61</v>
      </c>
    </row>
    <row r="26" spans="1:14" ht="16" customHeight="1" x14ac:dyDescent="0.2">
      <c r="A26" s="4" t="s">
        <v>62</v>
      </c>
    </row>
    <row r="27" spans="1:14" ht="16" customHeight="1" thickBot="1" x14ac:dyDescent="0.25">
      <c r="A27" s="4" t="s">
        <v>63</v>
      </c>
      <c r="J27" s="15" t="s">
        <v>58</v>
      </c>
      <c r="K27" s="17"/>
      <c r="L27" s="16" t="s">
        <v>59</v>
      </c>
      <c r="M27" s="17"/>
      <c r="N27" t="s">
        <v>60</v>
      </c>
    </row>
    <row r="28" spans="1:14" ht="16" customHeight="1" x14ac:dyDescent="0.2">
      <c r="A28" s="4" t="s">
        <v>64</v>
      </c>
      <c r="J28" s="39" t="s">
        <v>70</v>
      </c>
      <c r="K28" s="40"/>
      <c r="L28" s="41"/>
      <c r="M28" s="41"/>
      <c r="N28" s="42"/>
    </row>
    <row r="29" spans="1:14" ht="16" customHeight="1" thickBot="1" x14ac:dyDescent="0.25">
      <c r="A29" s="4" t="s">
        <v>65</v>
      </c>
      <c r="J29" s="39"/>
      <c r="K29" s="43"/>
      <c r="L29" s="44"/>
      <c r="M29" s="44"/>
      <c r="N29" s="45"/>
    </row>
    <row r="30" spans="1:14" ht="16" customHeight="1" x14ac:dyDescent="0.2">
      <c r="A30" s="4" t="s">
        <v>66</v>
      </c>
    </row>
    <row r="31" spans="1:14" ht="16" customHeight="1" x14ac:dyDescent="0.2">
      <c r="A31" s="4" t="s">
        <v>67</v>
      </c>
    </row>
    <row r="32" spans="1:14" ht="16" customHeight="1" x14ac:dyDescent="0.2">
      <c r="A32" s="4" t="s">
        <v>68</v>
      </c>
    </row>
    <row r="33" spans="1:14" ht="16" customHeight="1" x14ac:dyDescent="0.2">
      <c r="A33" s="4" t="s">
        <v>69</v>
      </c>
    </row>
    <row r="34" spans="1:14" ht="16" customHeight="1" x14ac:dyDescent="0.2">
      <c r="A34" s="4" t="s">
        <v>72</v>
      </c>
    </row>
    <row r="35" spans="1:14" ht="23" customHeight="1" x14ac:dyDescent="0.25">
      <c r="A35" s="34" t="s">
        <v>71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</row>
  </sheetData>
  <mergeCells count="71">
    <mergeCell ref="B3:C3"/>
    <mergeCell ref="D3:F3"/>
    <mergeCell ref="K3:M3"/>
    <mergeCell ref="A1:C1"/>
    <mergeCell ref="D1:I2"/>
    <mergeCell ref="K1:N1"/>
    <mergeCell ref="B2:C2"/>
    <mergeCell ref="K2:N2"/>
    <mergeCell ref="B4:C4"/>
    <mergeCell ref="D4:F4"/>
    <mergeCell ref="K4:M4"/>
    <mergeCell ref="B5:C5"/>
    <mergeCell ref="D5:F5"/>
    <mergeCell ref="K5:M5"/>
    <mergeCell ref="B6:C6"/>
    <mergeCell ref="D6:F6"/>
    <mergeCell ref="K6:M6"/>
    <mergeCell ref="B7:C7"/>
    <mergeCell ref="D7:F7"/>
    <mergeCell ref="K7:M7"/>
    <mergeCell ref="B8:C8"/>
    <mergeCell ref="D8:F8"/>
    <mergeCell ref="K8:M8"/>
    <mergeCell ref="B9:C9"/>
    <mergeCell ref="D9:F9"/>
    <mergeCell ref="K9:M9"/>
    <mergeCell ref="B10:C10"/>
    <mergeCell ref="D10:F10"/>
    <mergeCell ref="K10:M10"/>
    <mergeCell ref="B11:C11"/>
    <mergeCell ref="D11:F11"/>
    <mergeCell ref="K11:M11"/>
    <mergeCell ref="B12:C12"/>
    <mergeCell ref="D12:F12"/>
    <mergeCell ref="K12:M12"/>
    <mergeCell ref="B13:C13"/>
    <mergeCell ref="D13:F13"/>
    <mergeCell ref="K13:M13"/>
    <mergeCell ref="B14:C14"/>
    <mergeCell ref="D14:F14"/>
    <mergeCell ref="K14:M14"/>
    <mergeCell ref="B15:C15"/>
    <mergeCell ref="D15:F15"/>
    <mergeCell ref="K15:M15"/>
    <mergeCell ref="B16:C16"/>
    <mergeCell ref="D16:F16"/>
    <mergeCell ref="K16:M16"/>
    <mergeCell ref="B17:C17"/>
    <mergeCell ref="D17:F17"/>
    <mergeCell ref="K17:M17"/>
    <mergeCell ref="B18:C18"/>
    <mergeCell ref="D18:F18"/>
    <mergeCell ref="K18:M18"/>
    <mergeCell ref="B19:C19"/>
    <mergeCell ref="D19:F19"/>
    <mergeCell ref="K19:M19"/>
    <mergeCell ref="B20:C20"/>
    <mergeCell ref="D20:F20"/>
    <mergeCell ref="K20:M20"/>
    <mergeCell ref="B21:C21"/>
    <mergeCell ref="D21:F21"/>
    <mergeCell ref="K21:M21"/>
    <mergeCell ref="J28:J29"/>
    <mergeCell ref="K28:N29"/>
    <mergeCell ref="A35:N35"/>
    <mergeCell ref="B22:C22"/>
    <mergeCell ref="D22:F22"/>
    <mergeCell ref="K22:M22"/>
    <mergeCell ref="B23:C23"/>
    <mergeCell ref="D23:F23"/>
    <mergeCell ref="K23:M23"/>
  </mergeCells>
  <printOptions horizontalCentered="1" verticalCentered="1"/>
  <pageMargins left="0.25" right="0.25" top="0.25" bottom="0.25" header="0.3" footer="0.3"/>
  <pageSetup orientation="landscape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r" error="Invalid input" promptTitle="Select Job Code" xr:uid="{41B29AD2-087C-544E-9386-58FC32E99DEE}">
          <x14:formula1>
            <xm:f>'Job Codes'!$A$1:$A$43</xm:f>
          </x14:formula1>
          <xm:sqref>G4:G23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23740-C1F3-F54B-A5C8-CA571B34AE61}">
  <dimension ref="A1:N35"/>
  <sheetViews>
    <sheetView showGridLines="0" tabSelected="1" zoomScale="130" zoomScaleNormal="130" zoomScalePageLayoutView="130" workbookViewId="0">
      <selection activeCell="A4" sqref="A4"/>
    </sheetView>
  </sheetViews>
  <sheetFormatPr baseColWidth="10" defaultColWidth="0" defaultRowHeight="16" zeroHeight="1" x14ac:dyDescent="0.2"/>
  <cols>
    <col min="1" max="1" width="9.1640625" customWidth="1"/>
    <col min="2" max="3" width="10.5" customWidth="1"/>
    <col min="4" max="4" width="8.5" customWidth="1"/>
    <col min="5" max="5" width="9.5" customWidth="1"/>
    <col min="6" max="6" width="9.33203125" customWidth="1"/>
    <col min="7" max="7" width="10" customWidth="1"/>
    <col min="8" max="8" width="4.33203125" bestFit="1" customWidth="1"/>
    <col min="9" max="9" width="9.83203125" customWidth="1"/>
    <col min="10" max="10" width="10.6640625" customWidth="1"/>
    <col min="11" max="11" width="8" customWidth="1"/>
    <col min="12" max="12" width="7.5" customWidth="1"/>
    <col min="13" max="13" width="6.5" customWidth="1"/>
    <col min="14" max="14" width="7.6640625" customWidth="1"/>
    <col min="15" max="16384" width="10.83203125" hidden="1"/>
  </cols>
  <sheetData>
    <row r="1" spans="1:14" x14ac:dyDescent="0.2">
      <c r="A1" s="18" t="s">
        <v>53</v>
      </c>
      <c r="B1" s="19"/>
      <c r="C1" s="20"/>
      <c r="D1" s="24" t="s">
        <v>56</v>
      </c>
      <c r="E1" s="25"/>
      <c r="F1" s="25"/>
      <c r="G1" s="25"/>
      <c r="H1" s="25"/>
      <c r="I1" s="26"/>
      <c r="J1" s="9" t="s">
        <v>57</v>
      </c>
      <c r="K1" s="35"/>
      <c r="L1" s="35"/>
      <c r="M1" s="35"/>
      <c r="N1" s="36"/>
    </row>
    <row r="2" spans="1:14" ht="14" customHeight="1" thickBot="1" x14ac:dyDescent="0.25">
      <c r="A2" s="8" t="s">
        <v>54</v>
      </c>
      <c r="B2" s="21" t="s">
        <v>55</v>
      </c>
      <c r="C2" s="22"/>
      <c r="D2" s="27"/>
      <c r="E2" s="28"/>
      <c r="F2" s="28"/>
      <c r="G2" s="28"/>
      <c r="H2" s="28"/>
      <c r="I2" s="29"/>
      <c r="J2" s="10"/>
      <c r="K2" s="37"/>
      <c r="L2" s="37"/>
      <c r="M2" s="37"/>
      <c r="N2" s="38"/>
    </row>
    <row r="3" spans="1:14" s="3" customFormat="1" ht="14" x14ac:dyDescent="0.2">
      <c r="A3" s="7" t="s">
        <v>43</v>
      </c>
      <c r="B3" s="23" t="s">
        <v>44</v>
      </c>
      <c r="C3" s="23"/>
      <c r="D3" s="23" t="s">
        <v>45</v>
      </c>
      <c r="E3" s="23"/>
      <c r="F3" s="23"/>
      <c r="G3" s="7" t="s">
        <v>46</v>
      </c>
      <c r="H3" s="7" t="s">
        <v>47</v>
      </c>
      <c r="I3" s="7" t="s">
        <v>48</v>
      </c>
      <c r="J3" s="7" t="s">
        <v>49</v>
      </c>
      <c r="K3" s="23" t="s">
        <v>50</v>
      </c>
      <c r="L3" s="23"/>
      <c r="M3" s="23"/>
      <c r="N3" s="7" t="s">
        <v>51</v>
      </c>
    </row>
    <row r="4" spans="1:14" ht="19" customHeight="1" x14ac:dyDescent="0.2">
      <c r="A4" s="12"/>
      <c r="B4" s="30"/>
      <c r="C4" s="30"/>
      <c r="D4" s="30"/>
      <c r="E4" s="30"/>
      <c r="F4" s="30"/>
      <c r="G4" s="14"/>
      <c r="H4" s="14"/>
      <c r="I4" s="5" t="str">
        <f>IFERROR(_xlfn.XLOOKUP(G4,'Job Codes'!$A$1:$A$43,'Job Codes'!$B$1:$B$43),"")</f>
        <v/>
      </c>
      <c r="J4" s="11" t="str">
        <f>IFERROR(H4*I4,"")</f>
        <v/>
      </c>
      <c r="K4" s="30"/>
      <c r="L4" s="30"/>
      <c r="M4" s="30"/>
      <c r="N4" s="2"/>
    </row>
    <row r="5" spans="1:14" ht="19" customHeight="1" x14ac:dyDescent="0.2">
      <c r="A5" s="12"/>
      <c r="B5" s="31"/>
      <c r="C5" s="33"/>
      <c r="D5" s="31"/>
      <c r="E5" s="32"/>
      <c r="F5" s="33"/>
      <c r="G5" s="14"/>
      <c r="H5" s="14"/>
      <c r="I5" s="5" t="str">
        <f>IFERROR(_xlfn.XLOOKUP(G5,'Job Codes'!$A$1:$A$43,'Job Codes'!$B$1:$B$43),"")</f>
        <v/>
      </c>
      <c r="J5" s="11" t="str">
        <f t="shared" ref="J5:J23" si="0">IFERROR(H5*I5,"")</f>
        <v/>
      </c>
      <c r="K5" s="31"/>
      <c r="L5" s="32"/>
      <c r="M5" s="33"/>
      <c r="N5" s="2"/>
    </row>
    <row r="6" spans="1:14" ht="19" customHeight="1" x14ac:dyDescent="0.2">
      <c r="A6" s="12"/>
      <c r="B6" s="31"/>
      <c r="C6" s="33"/>
      <c r="D6" s="31"/>
      <c r="E6" s="32"/>
      <c r="F6" s="33"/>
      <c r="G6" s="14"/>
      <c r="H6" s="14"/>
      <c r="I6" s="5" t="str">
        <f>IFERROR(_xlfn.XLOOKUP(G6,'Job Codes'!$A$1:$A$43,'Job Codes'!$B$1:$B$43),"")</f>
        <v/>
      </c>
      <c r="J6" s="11" t="str">
        <f t="shared" si="0"/>
        <v/>
      </c>
      <c r="K6" s="31"/>
      <c r="L6" s="32"/>
      <c r="M6" s="33"/>
      <c r="N6" s="2"/>
    </row>
    <row r="7" spans="1:14" ht="19" customHeight="1" x14ac:dyDescent="0.2">
      <c r="A7" s="12"/>
      <c r="B7" s="31"/>
      <c r="C7" s="33"/>
      <c r="D7" s="31"/>
      <c r="E7" s="32"/>
      <c r="F7" s="33"/>
      <c r="G7" s="14"/>
      <c r="H7" s="14"/>
      <c r="I7" s="5" t="str">
        <f>IFERROR(_xlfn.XLOOKUP(G7,'Job Codes'!$A$1:$A$43,'Job Codes'!$B$1:$B$43),"")</f>
        <v/>
      </c>
      <c r="J7" s="11" t="str">
        <f t="shared" si="0"/>
        <v/>
      </c>
      <c r="K7" s="31"/>
      <c r="L7" s="32"/>
      <c r="M7" s="33"/>
      <c r="N7" s="2"/>
    </row>
    <row r="8" spans="1:14" ht="19" customHeight="1" x14ac:dyDescent="0.2">
      <c r="A8" s="12"/>
      <c r="B8" s="31"/>
      <c r="C8" s="33"/>
      <c r="D8" s="31"/>
      <c r="E8" s="32"/>
      <c r="F8" s="33"/>
      <c r="G8" s="14"/>
      <c r="H8" s="14"/>
      <c r="I8" s="5" t="str">
        <f>IFERROR(_xlfn.XLOOKUP(G8,'Job Codes'!$A$1:$A$43,'Job Codes'!$B$1:$B$43),"")</f>
        <v/>
      </c>
      <c r="J8" s="11" t="str">
        <f t="shared" si="0"/>
        <v/>
      </c>
      <c r="K8" s="31"/>
      <c r="L8" s="32"/>
      <c r="M8" s="33"/>
      <c r="N8" s="2"/>
    </row>
    <row r="9" spans="1:14" ht="19" customHeight="1" x14ac:dyDescent="0.2">
      <c r="A9" s="12"/>
      <c r="B9" s="31"/>
      <c r="C9" s="33"/>
      <c r="D9" s="31"/>
      <c r="E9" s="32"/>
      <c r="F9" s="33"/>
      <c r="G9" s="14"/>
      <c r="H9" s="14"/>
      <c r="I9" s="5" t="str">
        <f>IFERROR(_xlfn.XLOOKUP(G9,'Job Codes'!$A$1:$A$43,'Job Codes'!$B$1:$B$43),"")</f>
        <v/>
      </c>
      <c r="J9" s="11" t="str">
        <f t="shared" si="0"/>
        <v/>
      </c>
      <c r="K9" s="31"/>
      <c r="L9" s="32"/>
      <c r="M9" s="33"/>
      <c r="N9" s="2"/>
    </row>
    <row r="10" spans="1:14" ht="19" customHeight="1" x14ac:dyDescent="0.2">
      <c r="A10" s="12"/>
      <c r="B10" s="31"/>
      <c r="C10" s="33"/>
      <c r="D10" s="31"/>
      <c r="E10" s="32"/>
      <c r="F10" s="33"/>
      <c r="G10" s="14"/>
      <c r="H10" s="14"/>
      <c r="I10" s="5" t="str">
        <f>IFERROR(_xlfn.XLOOKUP(G10,'Job Codes'!$A$1:$A$43,'Job Codes'!$B$1:$B$43),"")</f>
        <v/>
      </c>
      <c r="J10" s="11" t="str">
        <f t="shared" si="0"/>
        <v/>
      </c>
      <c r="K10" s="31"/>
      <c r="L10" s="32"/>
      <c r="M10" s="33"/>
      <c r="N10" s="2"/>
    </row>
    <row r="11" spans="1:14" ht="19" customHeight="1" x14ac:dyDescent="0.2">
      <c r="A11" s="12"/>
      <c r="B11" s="31"/>
      <c r="C11" s="33"/>
      <c r="D11" s="31"/>
      <c r="E11" s="32"/>
      <c r="F11" s="33"/>
      <c r="G11" s="14"/>
      <c r="H11" s="14"/>
      <c r="I11" s="5" t="str">
        <f>IFERROR(_xlfn.XLOOKUP(G11,'Job Codes'!$A$1:$A$43,'Job Codes'!$B$1:$B$43),"")</f>
        <v/>
      </c>
      <c r="J11" s="11" t="str">
        <f t="shared" si="0"/>
        <v/>
      </c>
      <c r="K11" s="31"/>
      <c r="L11" s="32"/>
      <c r="M11" s="33"/>
      <c r="N11" s="2"/>
    </row>
    <row r="12" spans="1:14" ht="19" customHeight="1" x14ac:dyDescent="0.2">
      <c r="A12" s="12"/>
      <c r="B12" s="31"/>
      <c r="C12" s="33"/>
      <c r="D12" s="31"/>
      <c r="E12" s="32"/>
      <c r="F12" s="33"/>
      <c r="G12" s="13"/>
      <c r="H12" s="14"/>
      <c r="I12" s="5" t="str">
        <f>IFERROR(_xlfn.XLOOKUP(G12,'Job Codes'!$A$1:$A$43,'Job Codes'!$B$1:$B$43),"")</f>
        <v/>
      </c>
      <c r="J12" s="11" t="str">
        <f t="shared" si="0"/>
        <v/>
      </c>
      <c r="K12" s="31"/>
      <c r="L12" s="32"/>
      <c r="M12" s="33"/>
      <c r="N12" s="2"/>
    </row>
    <row r="13" spans="1:14" ht="19" customHeight="1" x14ac:dyDescent="0.2">
      <c r="A13" s="12"/>
      <c r="B13" s="31"/>
      <c r="C13" s="33"/>
      <c r="D13" s="31"/>
      <c r="E13" s="32"/>
      <c r="F13" s="33"/>
      <c r="G13" s="14"/>
      <c r="H13" s="14"/>
      <c r="I13" s="5" t="str">
        <f>IFERROR(_xlfn.XLOOKUP(G13,'Job Codes'!$A$1:$A$43,'Job Codes'!$B$1:$B$43),"")</f>
        <v/>
      </c>
      <c r="J13" s="11" t="str">
        <f t="shared" si="0"/>
        <v/>
      </c>
      <c r="K13" s="31"/>
      <c r="L13" s="32"/>
      <c r="M13" s="33"/>
      <c r="N13" s="2"/>
    </row>
    <row r="14" spans="1:14" ht="19" customHeight="1" x14ac:dyDescent="0.2">
      <c r="A14" s="12"/>
      <c r="B14" s="31"/>
      <c r="C14" s="33"/>
      <c r="D14" s="31"/>
      <c r="E14" s="32"/>
      <c r="F14" s="33"/>
      <c r="G14" s="14"/>
      <c r="H14" s="14"/>
      <c r="I14" s="5" t="str">
        <f>IFERROR(_xlfn.XLOOKUP(G14,'Job Codes'!$A$1:$A$43,'Job Codes'!$B$1:$B$43),"")</f>
        <v/>
      </c>
      <c r="J14" s="11" t="str">
        <f t="shared" si="0"/>
        <v/>
      </c>
      <c r="K14" s="31"/>
      <c r="L14" s="32"/>
      <c r="M14" s="33"/>
      <c r="N14" s="2"/>
    </row>
    <row r="15" spans="1:14" ht="19" customHeight="1" x14ac:dyDescent="0.2">
      <c r="A15" s="12"/>
      <c r="B15" s="31"/>
      <c r="C15" s="33"/>
      <c r="D15" s="31"/>
      <c r="E15" s="32"/>
      <c r="F15" s="33"/>
      <c r="G15" s="14"/>
      <c r="H15" s="14"/>
      <c r="I15" s="5" t="str">
        <f>IFERROR(_xlfn.XLOOKUP(G15,'Job Codes'!$A$1:$A$43,'Job Codes'!$B$1:$B$43),"")</f>
        <v/>
      </c>
      <c r="J15" s="11" t="str">
        <f t="shared" si="0"/>
        <v/>
      </c>
      <c r="K15" s="31"/>
      <c r="L15" s="32"/>
      <c r="M15" s="33"/>
      <c r="N15" s="2"/>
    </row>
    <row r="16" spans="1:14" ht="19" customHeight="1" x14ac:dyDescent="0.2">
      <c r="A16" s="12"/>
      <c r="B16" s="31"/>
      <c r="C16" s="33"/>
      <c r="D16" s="31"/>
      <c r="E16" s="32"/>
      <c r="F16" s="33"/>
      <c r="G16" s="14"/>
      <c r="H16" s="14"/>
      <c r="I16" s="5" t="str">
        <f>IFERROR(_xlfn.XLOOKUP(G16,'Job Codes'!$A$1:$A$43,'Job Codes'!$B$1:$B$43),"")</f>
        <v/>
      </c>
      <c r="J16" s="11" t="str">
        <f t="shared" si="0"/>
        <v/>
      </c>
      <c r="K16" s="31"/>
      <c r="L16" s="32"/>
      <c r="M16" s="33"/>
      <c r="N16" s="2"/>
    </row>
    <row r="17" spans="1:14" ht="19" customHeight="1" x14ac:dyDescent="0.2">
      <c r="A17" s="12"/>
      <c r="B17" s="31"/>
      <c r="C17" s="33"/>
      <c r="D17" s="31"/>
      <c r="E17" s="32"/>
      <c r="F17" s="33"/>
      <c r="G17" s="14"/>
      <c r="H17" s="14"/>
      <c r="I17" s="5" t="str">
        <f>IFERROR(_xlfn.XLOOKUP(G17,'Job Codes'!$A$1:$A$43,'Job Codes'!$B$1:$B$43),"")</f>
        <v/>
      </c>
      <c r="J17" s="11" t="str">
        <f t="shared" si="0"/>
        <v/>
      </c>
      <c r="K17" s="31"/>
      <c r="L17" s="32"/>
      <c r="M17" s="33"/>
      <c r="N17" s="2"/>
    </row>
    <row r="18" spans="1:14" ht="19" customHeight="1" x14ac:dyDescent="0.2">
      <c r="A18" s="12"/>
      <c r="B18" s="31"/>
      <c r="C18" s="33"/>
      <c r="D18" s="31"/>
      <c r="E18" s="32"/>
      <c r="F18" s="33"/>
      <c r="G18" s="14"/>
      <c r="H18" s="14"/>
      <c r="I18" s="5" t="str">
        <f>IFERROR(_xlfn.XLOOKUP(G18,'Job Codes'!$A$1:$A$43,'Job Codes'!$B$1:$B$43),"")</f>
        <v/>
      </c>
      <c r="J18" s="11" t="str">
        <f t="shared" si="0"/>
        <v/>
      </c>
      <c r="K18" s="31"/>
      <c r="L18" s="32"/>
      <c r="M18" s="33"/>
      <c r="N18" s="2"/>
    </row>
    <row r="19" spans="1:14" ht="19" customHeight="1" x14ac:dyDescent="0.2">
      <c r="A19" s="12"/>
      <c r="B19" s="31"/>
      <c r="C19" s="33"/>
      <c r="D19" s="31"/>
      <c r="E19" s="32"/>
      <c r="F19" s="33"/>
      <c r="G19" s="14"/>
      <c r="H19" s="14"/>
      <c r="I19" s="5" t="str">
        <f>IFERROR(_xlfn.XLOOKUP(G19,'Job Codes'!$A$1:$A$43,'Job Codes'!$B$1:$B$43),"")</f>
        <v/>
      </c>
      <c r="J19" s="11" t="str">
        <f t="shared" si="0"/>
        <v/>
      </c>
      <c r="K19" s="31"/>
      <c r="L19" s="32"/>
      <c r="M19" s="33"/>
      <c r="N19" s="2"/>
    </row>
    <row r="20" spans="1:14" ht="19" customHeight="1" x14ac:dyDescent="0.2">
      <c r="A20" s="12"/>
      <c r="B20" s="31"/>
      <c r="C20" s="33"/>
      <c r="D20" s="31"/>
      <c r="E20" s="32"/>
      <c r="F20" s="33"/>
      <c r="G20" s="14"/>
      <c r="H20" s="14"/>
      <c r="I20" s="5" t="str">
        <f>IFERROR(_xlfn.XLOOKUP(G20,'Job Codes'!$A$1:$A$43,'Job Codes'!$B$1:$B$43),"")</f>
        <v/>
      </c>
      <c r="J20" s="11" t="str">
        <f t="shared" si="0"/>
        <v/>
      </c>
      <c r="K20" s="31"/>
      <c r="L20" s="32"/>
      <c r="M20" s="33"/>
      <c r="N20" s="2"/>
    </row>
    <row r="21" spans="1:14" ht="19" customHeight="1" x14ac:dyDescent="0.2">
      <c r="A21" s="12"/>
      <c r="B21" s="31"/>
      <c r="C21" s="33"/>
      <c r="D21" s="31"/>
      <c r="E21" s="32"/>
      <c r="F21" s="33"/>
      <c r="G21" s="14"/>
      <c r="H21" s="14"/>
      <c r="I21" s="5" t="str">
        <f>IFERROR(_xlfn.XLOOKUP(G21,'Job Codes'!$A$1:$A$43,'Job Codes'!$B$1:$B$43),"")</f>
        <v/>
      </c>
      <c r="J21" s="11" t="str">
        <f t="shared" si="0"/>
        <v/>
      </c>
      <c r="K21" s="31"/>
      <c r="L21" s="32"/>
      <c r="M21" s="33"/>
      <c r="N21" s="2"/>
    </row>
    <row r="22" spans="1:14" ht="19" customHeight="1" x14ac:dyDescent="0.2">
      <c r="A22" s="12"/>
      <c r="B22" s="31"/>
      <c r="C22" s="33"/>
      <c r="D22" s="31"/>
      <c r="E22" s="32"/>
      <c r="F22" s="33"/>
      <c r="G22" s="14"/>
      <c r="H22" s="14"/>
      <c r="I22" s="5" t="str">
        <f>IFERROR(_xlfn.XLOOKUP(G22,'Job Codes'!$A$1:$A$43,'Job Codes'!$B$1:$B$43),"")</f>
        <v/>
      </c>
      <c r="J22" s="11" t="str">
        <f t="shared" si="0"/>
        <v/>
      </c>
      <c r="K22" s="31"/>
      <c r="L22" s="32"/>
      <c r="M22" s="33"/>
      <c r="N22" s="2"/>
    </row>
    <row r="23" spans="1:14" ht="19" customHeight="1" x14ac:dyDescent="0.2">
      <c r="A23" s="12"/>
      <c r="B23" s="31"/>
      <c r="C23" s="33"/>
      <c r="D23" s="31"/>
      <c r="E23" s="32"/>
      <c r="F23" s="33"/>
      <c r="G23" s="14"/>
      <c r="H23" s="14"/>
      <c r="I23" s="5" t="str">
        <f>IFERROR(_xlfn.XLOOKUP(G23,'Job Codes'!$A$1:$A$43,'Job Codes'!$B$1:$B$43),"")</f>
        <v/>
      </c>
      <c r="J23" s="11" t="str">
        <f t="shared" si="0"/>
        <v/>
      </c>
      <c r="K23" s="31"/>
      <c r="L23" s="32"/>
      <c r="M23" s="33"/>
      <c r="N23" s="2"/>
    </row>
    <row r="24" spans="1:14" ht="25" customHeight="1" x14ac:dyDescent="0.2">
      <c r="I24" s="6" t="s">
        <v>52</v>
      </c>
      <c r="J24" s="5">
        <f>SUM(J4:J23)</f>
        <v>0</v>
      </c>
    </row>
    <row r="25" spans="1:14" ht="16" customHeight="1" x14ac:dyDescent="0.2">
      <c r="A25" s="4" t="s">
        <v>61</v>
      </c>
    </row>
    <row r="26" spans="1:14" ht="16" customHeight="1" x14ac:dyDescent="0.2">
      <c r="A26" s="4" t="s">
        <v>62</v>
      </c>
    </row>
    <row r="27" spans="1:14" ht="16" customHeight="1" thickBot="1" x14ac:dyDescent="0.25">
      <c r="A27" s="4" t="s">
        <v>63</v>
      </c>
      <c r="J27" s="15" t="s">
        <v>58</v>
      </c>
      <c r="K27" s="17"/>
      <c r="L27" s="16" t="s">
        <v>59</v>
      </c>
      <c r="M27" s="17"/>
      <c r="N27" t="s">
        <v>60</v>
      </c>
    </row>
    <row r="28" spans="1:14" ht="16" customHeight="1" x14ac:dyDescent="0.2">
      <c r="A28" s="4" t="s">
        <v>64</v>
      </c>
      <c r="J28" s="39" t="s">
        <v>70</v>
      </c>
      <c r="K28" s="46">
        <f>Monday!J24+Tuesday!J24+Wednesday!J24+Thursday!J24+Friday!J24</f>
        <v>0</v>
      </c>
      <c r="L28" s="41"/>
      <c r="M28" s="41"/>
      <c r="N28" s="42"/>
    </row>
    <row r="29" spans="1:14" ht="16" customHeight="1" thickBot="1" x14ac:dyDescent="0.25">
      <c r="A29" s="4" t="s">
        <v>65</v>
      </c>
      <c r="J29" s="39"/>
      <c r="K29" s="43"/>
      <c r="L29" s="44"/>
      <c r="M29" s="44"/>
      <c r="N29" s="45"/>
    </row>
    <row r="30" spans="1:14" ht="16" customHeight="1" x14ac:dyDescent="0.2">
      <c r="A30" s="4" t="s">
        <v>66</v>
      </c>
    </row>
    <row r="31" spans="1:14" ht="16" customHeight="1" x14ac:dyDescent="0.2">
      <c r="A31" s="4" t="s">
        <v>67</v>
      </c>
    </row>
    <row r="32" spans="1:14" ht="16" customHeight="1" x14ac:dyDescent="0.2">
      <c r="A32" s="4" t="s">
        <v>68</v>
      </c>
    </row>
    <row r="33" spans="1:14" ht="16" customHeight="1" x14ac:dyDescent="0.2">
      <c r="A33" s="4" t="s">
        <v>69</v>
      </c>
    </row>
    <row r="34" spans="1:14" ht="16" customHeight="1" x14ac:dyDescent="0.2">
      <c r="A34" s="4" t="s">
        <v>72</v>
      </c>
    </row>
    <row r="35" spans="1:14" ht="23" customHeight="1" x14ac:dyDescent="0.25">
      <c r="A35" s="34" t="s">
        <v>71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</row>
  </sheetData>
  <mergeCells count="71">
    <mergeCell ref="B3:C3"/>
    <mergeCell ref="D3:F3"/>
    <mergeCell ref="K3:M3"/>
    <mergeCell ref="A1:C1"/>
    <mergeCell ref="D1:I2"/>
    <mergeCell ref="K1:N1"/>
    <mergeCell ref="B2:C2"/>
    <mergeCell ref="K2:N2"/>
    <mergeCell ref="B4:C4"/>
    <mergeCell ref="D4:F4"/>
    <mergeCell ref="K4:M4"/>
    <mergeCell ref="B5:C5"/>
    <mergeCell ref="D5:F5"/>
    <mergeCell ref="K5:M5"/>
    <mergeCell ref="B6:C6"/>
    <mergeCell ref="D6:F6"/>
    <mergeCell ref="K6:M6"/>
    <mergeCell ref="B7:C7"/>
    <mergeCell ref="D7:F7"/>
    <mergeCell ref="K7:M7"/>
    <mergeCell ref="B8:C8"/>
    <mergeCell ref="D8:F8"/>
    <mergeCell ref="K8:M8"/>
    <mergeCell ref="B9:C9"/>
    <mergeCell ref="D9:F9"/>
    <mergeCell ref="K9:M9"/>
    <mergeCell ref="B10:C10"/>
    <mergeCell ref="D10:F10"/>
    <mergeCell ref="K10:M10"/>
    <mergeCell ref="B11:C11"/>
    <mergeCell ref="D11:F11"/>
    <mergeCell ref="K11:M11"/>
    <mergeCell ref="B12:C12"/>
    <mergeCell ref="D12:F12"/>
    <mergeCell ref="K12:M12"/>
    <mergeCell ref="B13:C13"/>
    <mergeCell ref="D13:F13"/>
    <mergeCell ref="K13:M13"/>
    <mergeCell ref="B14:C14"/>
    <mergeCell ref="D14:F14"/>
    <mergeCell ref="K14:M14"/>
    <mergeCell ref="B15:C15"/>
    <mergeCell ref="D15:F15"/>
    <mergeCell ref="K15:M15"/>
    <mergeCell ref="B16:C16"/>
    <mergeCell ref="D16:F16"/>
    <mergeCell ref="K16:M16"/>
    <mergeCell ref="B17:C17"/>
    <mergeCell ref="D17:F17"/>
    <mergeCell ref="K17:M17"/>
    <mergeCell ref="B18:C18"/>
    <mergeCell ref="D18:F18"/>
    <mergeCell ref="K18:M18"/>
    <mergeCell ref="B19:C19"/>
    <mergeCell ref="D19:F19"/>
    <mergeCell ref="K19:M19"/>
    <mergeCell ref="B20:C20"/>
    <mergeCell ref="D20:F20"/>
    <mergeCell ref="K20:M20"/>
    <mergeCell ref="B21:C21"/>
    <mergeCell ref="D21:F21"/>
    <mergeCell ref="K21:M21"/>
    <mergeCell ref="J28:J29"/>
    <mergeCell ref="K28:N29"/>
    <mergeCell ref="A35:N35"/>
    <mergeCell ref="B22:C22"/>
    <mergeCell ref="D22:F22"/>
    <mergeCell ref="K22:M22"/>
    <mergeCell ref="B23:C23"/>
    <mergeCell ref="D23:F23"/>
    <mergeCell ref="K23:M23"/>
  </mergeCells>
  <printOptions horizontalCentered="1" verticalCentered="1"/>
  <pageMargins left="0.25" right="0.25" top="0.25" bottom="0.25" header="0.3" footer="0.3"/>
  <pageSetup orientation="landscape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r" error="Invalid input" promptTitle="Select Job Code" xr:uid="{9A2DA284-2769-6040-8AA6-470A2FA94A3A}">
          <x14:formula1>
            <xm:f>'Job Codes'!$A$1:$A$43</xm:f>
          </x14:formula1>
          <xm:sqref>G4:G23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Job Codes</vt:lpstr>
      <vt:lpstr>Monday</vt:lpstr>
      <vt:lpstr>Tuesday</vt:lpstr>
      <vt:lpstr>Wednesday</vt:lpstr>
      <vt:lpstr>Thursday</vt:lpstr>
      <vt:lpstr>Friday</vt:lpstr>
      <vt:lpstr>Friday!Print_Area</vt:lpstr>
      <vt:lpstr>Monday!Print_Area</vt:lpstr>
      <vt:lpstr>Thursday!Print_Area</vt:lpstr>
      <vt:lpstr>Tuesday!Print_Area</vt:lpstr>
      <vt:lpstr>Wednesday!Print_Area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Brinker</dc:creator>
  <cp:lastModifiedBy>Joshua Brinker</cp:lastModifiedBy>
  <dcterms:created xsi:type="dcterms:W3CDTF">2026-08-12T21:41:55Z</dcterms:created>
  <dcterms:modified xsi:type="dcterms:W3CDTF">2026-09-06T17:51:15Z</dcterms:modified>
</cp:coreProperties>
</file>